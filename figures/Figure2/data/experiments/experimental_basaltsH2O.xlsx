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acovino/PythonGit/EoV_CH2-2/SaturdayNightFun/"/>
    </mc:Choice>
  </mc:AlternateContent>
  <xr:revisionPtr revIDLastSave="0" documentId="8_{5141C301-6AA4-F646-A975-D3ADD1281B50}" xr6:coauthVersionLast="47" xr6:coauthVersionMax="47" xr10:uidLastSave="{00000000-0000-0000-0000-000000000000}"/>
  <bookViews>
    <workbookView xWindow="12780" yWindow="6900" windowWidth="26840" windowHeight="15940" xr2:uid="{76C67D96-5D75-DE4C-9285-139C74D0368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3" i="1" l="1"/>
  <c r="P73" i="1"/>
  <c r="O73" i="1"/>
  <c r="N73" i="1"/>
  <c r="M73" i="1"/>
  <c r="L73" i="1"/>
  <c r="K73" i="1"/>
  <c r="J73" i="1"/>
  <c r="I73" i="1"/>
  <c r="H73" i="1"/>
  <c r="G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<sst xmlns="http://schemas.openxmlformats.org/spreadsheetml/2006/main" count="154" uniqueCount="46">
  <si>
    <t>Label</t>
  </si>
  <si>
    <t>Citation</t>
  </si>
  <si>
    <t>Simplified Rock Type</t>
  </si>
  <si>
    <t>vols</t>
  </si>
  <si>
    <t>T_C</t>
  </si>
  <si>
    <t>P_bar</t>
  </si>
  <si>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</si>
  <si>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</si>
  <si>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</si>
  <si>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</si>
  <si>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</si>
  <si>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</si>
  <si>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</si>
  <si>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</si>
  <si>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</si>
  <si>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P2O5</t>
  </si>
  <si>
    <t>H2O</t>
  </si>
  <si>
    <t>CO2</t>
  </si>
  <si>
    <t>Hamilton et al 1964</t>
  </si>
  <si>
    <t>205**</t>
  </si>
  <si>
    <t>Hamilton et al., 1964</t>
  </si>
  <si>
    <t>Berndt et al 2002</t>
  </si>
  <si>
    <t>Berndt et al.2002</t>
  </si>
  <si>
    <t>An56Di44</t>
  </si>
  <si>
    <t>Benne and Behrens, 2003</t>
  </si>
  <si>
    <t>SC1</t>
  </si>
  <si>
    <t>Shishkina H2O</t>
  </si>
  <si>
    <t>OB93</t>
  </si>
  <si>
    <t>N72</t>
  </si>
  <si>
    <t>Shishkina et al., 2010</t>
  </si>
  <si>
    <t>169oxi</t>
  </si>
  <si>
    <t>Lesne et al 2011</t>
  </si>
  <si>
    <t>203**</t>
  </si>
  <si>
    <t>Hamilton et al., 1966</t>
  </si>
  <si>
    <t>PST-9, Stromboli</t>
  </si>
  <si>
    <t>Lesne et al., 2011a</t>
  </si>
  <si>
    <t>Botcharnikov et al., 2005</t>
  </si>
  <si>
    <t>B2518</t>
  </si>
  <si>
    <t>B2507</t>
  </si>
  <si>
    <t>Metrich &amp; Rutherford 1998</t>
  </si>
  <si>
    <t>Dixon et al 1995</t>
  </si>
  <si>
    <t>17H§</t>
  </si>
  <si>
    <t>Dixon et al. 1995</t>
  </si>
  <si>
    <t>21H§</t>
  </si>
  <si>
    <t>Dixon et al., 1995</t>
  </si>
  <si>
    <t>20H§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</si>
</sst>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/>
    <xf numFmtId="2" fontId="1" fillId="0" borderId="0" xfId="0" applyNumberFormat="1" applyFont="1"/>
    <xf numFmtId="164" fontId="1" fillId="0" borderId="0" xfId="0" applyNumberFormat="1" applyFont="1"/>
    <xf numFmtId="0" fontId="2" fillId="0" borderId="0" xfId="1"/>
    <xf numFmtId="0" fontId="3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Normal" xfId="0" builtinId="0"/>
    <cellStyle name="Normal 2" xfId="1" xr:uid="{941DBEFF-89EA-C949-8115-C81EAB3F7AE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3B3E-50DF-364F-BB29-CD6A7E46018A}">
  <dimension ref="A1:R73"/>
  <sheetViews>
    <sheetView tabSelected="1" workbookViewId="0">
      <selection activeCell="I19" sqref="I19"/>
    </sheetView>
  </sheetViews>
  <sheetFormatPr baseColWidth="10" defaultRowHeight="16" x14ac:dyDescent="0.2"/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 x14ac:dyDescent="0.2">
      <c r="A2" s="4" t="s">
        <v>18</v>
      </c>
      <c r="B2" s="4" t="s">
        <v>18</v>
      </c>
      <c r="C2" s="5" t="str">
        <f>IF(G2&gt;45, IF(G2&lt;52, IF((N2+O2)&lt;5,"basalt","alkali basalt")),IF(G2&lt;57,IF((N2+O2)&lt;6,"basaltic andesite","alkali intermediate"), IF((N2+O2)&lt;3, "picro-basalt","basanite")))</f>
        <v>basalt</v>
      </c>
      <c r="D2" s="5" t="str">
        <f>IF(R2=0,"H2O",IF(Q2&lt;0.4,"CO2","none"))</f>
        <v>H2O</v>
      </c>
      <c r="E2">
        <v>1100</v>
      </c>
      <c r="F2">
        <v>6067</v>
      </c>
      <c r="G2" s="6">
        <v>50.71</v>
      </c>
      <c r="H2" s="6">
        <v>1.7</v>
      </c>
      <c r="I2" s="6">
        <v>14.48</v>
      </c>
      <c r="J2" s="6">
        <v>13.96</v>
      </c>
      <c r="K2" s="6"/>
      <c r="L2" s="6">
        <v>4.68</v>
      </c>
      <c r="M2" s="6">
        <v>8.83</v>
      </c>
      <c r="N2" s="6">
        <v>3.16</v>
      </c>
      <c r="O2" s="6">
        <v>0.77</v>
      </c>
      <c r="P2" s="6">
        <v>0.36</v>
      </c>
      <c r="Q2" s="6">
        <v>9.4</v>
      </c>
      <c r="R2" s="7"/>
    </row>
    <row r="3" spans="1:18" x14ac:dyDescent="0.2">
      <c r="A3" t="s">
        <v>19</v>
      </c>
      <c r="B3" t="s">
        <v>20</v>
      </c>
      <c r="C3" s="5" t="str">
        <f>IF(G3&gt;45, IF(G3&lt;52, IF((N3+O3)&lt;5,"basalt","alkali basalt")),IF(G3&lt;57,IF((N3+O3)&lt;6,"basaltic andesite","alkali intermediate"), IF((N3+O3)&lt;3, "picro-basalt","basanite")))</f>
        <v>basalt</v>
      </c>
      <c r="D3" s="5" t="str">
        <f>IF(R3=0,"H2O",IF(Q3&lt;0.4,"CO2","none"))</f>
        <v>H2O</v>
      </c>
      <c r="E3">
        <v>1100</v>
      </c>
      <c r="F3">
        <v>6067</v>
      </c>
      <c r="G3" s="6">
        <v>50.71</v>
      </c>
      <c r="H3" s="6">
        <v>1.7</v>
      </c>
      <c r="I3" s="6">
        <v>14.48</v>
      </c>
      <c r="J3" s="6">
        <v>13.470022</v>
      </c>
      <c r="K3" s="6">
        <v>0.22</v>
      </c>
      <c r="L3" s="6">
        <v>4.68</v>
      </c>
      <c r="M3" s="6">
        <v>8.83</v>
      </c>
      <c r="N3" s="6">
        <v>3.16</v>
      </c>
      <c r="O3" s="6">
        <v>0.77</v>
      </c>
      <c r="P3" s="6">
        <v>0.36</v>
      </c>
      <c r="Q3" s="6">
        <v>9.4</v>
      </c>
      <c r="R3" s="7"/>
    </row>
    <row r="4" spans="1:18" x14ac:dyDescent="0.2">
      <c r="A4" s="4" t="s">
        <v>21</v>
      </c>
      <c r="B4" s="4" t="s">
        <v>21</v>
      </c>
      <c r="C4" s="5" t="str">
        <f>IF(G4&gt;45, IF(G4&lt;52, IF((N4+O4)&lt;5,"basalt","alkali basalt")),IF(G4&lt;57,IF((N4+O4)&lt;6,"basaltic andesite","alkali intermediate"), IF((N4+O4)&lt;3, "picro-basalt","basanite")))</f>
        <v>basalt</v>
      </c>
      <c r="D4" s="5" t="str">
        <f>IF(R4=0,"H2O",IF(Q4&lt;0.4,"CO2","none"))</f>
        <v>H2O</v>
      </c>
      <c r="E4">
        <v>1200</v>
      </c>
      <c r="F4">
        <v>5009</v>
      </c>
      <c r="G4" s="6">
        <v>49.64</v>
      </c>
      <c r="H4" s="6">
        <v>0.87</v>
      </c>
      <c r="I4" s="6">
        <v>16.07</v>
      </c>
      <c r="J4" s="6">
        <v>8.6300000000000008</v>
      </c>
      <c r="K4" s="6"/>
      <c r="L4" s="6"/>
      <c r="M4" s="6">
        <v>12.44</v>
      </c>
      <c r="N4" s="6">
        <v>2.2799999999999998</v>
      </c>
      <c r="O4" s="6">
        <v>0.08</v>
      </c>
      <c r="P4" s="6">
        <v>0.08</v>
      </c>
      <c r="Q4" s="6">
        <v>9.3800000000000008</v>
      </c>
      <c r="R4" s="7"/>
    </row>
    <row r="5" spans="1:18" x14ac:dyDescent="0.2">
      <c r="A5">
        <v>26</v>
      </c>
      <c r="B5" t="s">
        <v>22</v>
      </c>
      <c r="C5" s="5" t="str">
        <f>IF(G5&gt;45, IF(G5&lt;52, IF((N5+O5)&lt;5,"basalt","alkali basalt")),IF(G5&lt;57,IF((N5+O5)&lt;6,"basaltic andesite","alkali intermediate"), IF((N5+O5)&lt;3, "picro-basalt","basanite")))</f>
        <v>basalt</v>
      </c>
      <c r="D5" s="5" t="str">
        <f>IF(R5=0,"H2O",IF(Q5&lt;0.4,"CO2","none"))</f>
        <v>H2O</v>
      </c>
      <c r="E5">
        <v>1200</v>
      </c>
      <c r="F5">
        <v>5009</v>
      </c>
      <c r="G5" s="6">
        <v>49.64</v>
      </c>
      <c r="H5" s="6">
        <v>0.87</v>
      </c>
      <c r="I5" s="6">
        <v>16.07</v>
      </c>
      <c r="J5" s="6">
        <v>8.6300000000000008</v>
      </c>
      <c r="K5" s="6">
        <v>0.15</v>
      </c>
      <c r="L5" s="6">
        <v>9.76</v>
      </c>
      <c r="M5" s="6">
        <v>12.44</v>
      </c>
      <c r="N5" s="6">
        <v>2.2799999999999998</v>
      </c>
      <c r="O5" s="6">
        <v>0.08</v>
      </c>
      <c r="P5" s="6">
        <v>0.08</v>
      </c>
      <c r="Q5" s="6">
        <v>9.3800000000000008</v>
      </c>
      <c r="R5" s="7"/>
    </row>
    <row r="6" spans="1:18" x14ac:dyDescent="0.2">
      <c r="A6" t="s">
        <v>23</v>
      </c>
      <c r="B6" t="s">
        <v>24</v>
      </c>
      <c r="C6" s="5" t="str">
        <f>IF(G6&gt;45, IF(G6&lt;52, IF((N6+O6)&lt;5,"basalt","alkali basalt")),IF(G6&lt;57,IF((N6+O6)&lt;6,"basaltic andesite","alkali intermediate"), IF((N6+O6)&lt;3, "picro-basalt","basanite")))</f>
        <v>basalt</v>
      </c>
      <c r="D6" s="5" t="str">
        <f>IF(R6=0,"H2O",IF(Q6&lt;0.4,"CO2","none"))</f>
        <v>H2O</v>
      </c>
      <c r="E6">
        <v>1200</v>
      </c>
      <c r="F6">
        <v>5000</v>
      </c>
      <c r="G6" s="6">
        <v>48.456575682382137</v>
      </c>
      <c r="H6" s="6">
        <v>0</v>
      </c>
      <c r="I6" s="6">
        <v>20.843672456575682</v>
      </c>
      <c r="J6" s="6">
        <v>0</v>
      </c>
      <c r="K6" s="6">
        <v>0</v>
      </c>
      <c r="L6" s="6">
        <v>7.3945409429280398</v>
      </c>
      <c r="M6" s="6">
        <v>23.23573200992556</v>
      </c>
      <c r="N6" s="6">
        <v>6.9478908188585611E-2</v>
      </c>
      <c r="O6" s="6">
        <v>0</v>
      </c>
      <c r="P6" s="6">
        <v>0</v>
      </c>
      <c r="Q6" s="6">
        <v>7.57</v>
      </c>
      <c r="R6" s="7"/>
    </row>
    <row r="7" spans="1:18" x14ac:dyDescent="0.2">
      <c r="A7" t="s">
        <v>25</v>
      </c>
      <c r="B7" t="s">
        <v>26</v>
      </c>
      <c r="C7" s="5" t="str">
        <f>IF(G7&gt;45, IF(G7&lt;52, IF((N7+O7)&lt;5,"basalt","alkali basalt")),IF(G7&lt;57,IF((N7+O7)&lt;6,"basaltic andesite","alkali intermediate"), IF((N7+O7)&lt;3, "picro-basalt","basanite")))</f>
        <v>basalt</v>
      </c>
      <c r="D7" s="5" t="str">
        <f>IF(R7=0,"H2O",IF(Q7&lt;0.4,"CO2","none"))</f>
        <v>H2O</v>
      </c>
      <c r="E7">
        <v>1200</v>
      </c>
      <c r="F7">
        <v>5000</v>
      </c>
      <c r="G7" s="6">
        <v>48.882596824754778</v>
      </c>
      <c r="H7" s="6">
        <v>2.8921023359288096</v>
      </c>
      <c r="I7" s="6">
        <v>14.773991303468501</v>
      </c>
      <c r="J7" s="6">
        <v>13.054909495398928</v>
      </c>
      <c r="K7" s="6">
        <v>0</v>
      </c>
      <c r="L7" s="6">
        <v>6.4718373950854486</v>
      </c>
      <c r="M7" s="6">
        <v>10.992011325715442</v>
      </c>
      <c r="N7" s="6">
        <v>2.6291839417534635</v>
      </c>
      <c r="O7" s="6">
        <v>0.30336737789463042</v>
      </c>
      <c r="P7" s="6">
        <v>0</v>
      </c>
      <c r="Q7" s="6">
        <v>9.02</v>
      </c>
      <c r="R7" s="7"/>
    </row>
    <row r="8" spans="1:18" x14ac:dyDescent="0.2">
      <c r="A8" t="s">
        <v>27</v>
      </c>
      <c r="B8" t="s">
        <v>26</v>
      </c>
      <c r="C8" s="5" t="str">
        <f>IF(G8&gt;45, IF(G8&lt;52, IF((N8+O8)&lt;5,"basalt","alkali basalt")),IF(G8&lt;57,IF((N8+O8)&lt;6,"basaltic andesite","alkali intermediate"), IF((N8+O8)&lt;3, "picro-basalt","basanite")))</f>
        <v>basalt</v>
      </c>
      <c r="D8" s="5" t="str">
        <f>IF(R8=0,"H2O",IF(Q8&lt;0.4,"CO2","none"))</f>
        <v>H2O</v>
      </c>
      <c r="E8">
        <v>1200</v>
      </c>
      <c r="F8">
        <v>5000</v>
      </c>
      <c r="G8" s="6">
        <v>49.031221764883043</v>
      </c>
      <c r="H8" s="6">
        <v>2.7607669912659372</v>
      </c>
      <c r="I8" s="6">
        <v>16.203192450557172</v>
      </c>
      <c r="J8" s="6">
        <v>11.896395944182311</v>
      </c>
      <c r="K8" s="6">
        <v>0.17066559582371249</v>
      </c>
      <c r="L8" s="6">
        <v>5.8829434795703239</v>
      </c>
      <c r="M8" s="6">
        <v>9.7982130308201985</v>
      </c>
      <c r="N8" s="6">
        <v>3.1322156409998998</v>
      </c>
      <c r="O8" s="6">
        <v>1.1243851018974</v>
      </c>
      <c r="P8" s="6">
        <v>0</v>
      </c>
      <c r="Q8" s="6">
        <v>9.5399999999999991</v>
      </c>
      <c r="R8" s="7"/>
    </row>
    <row r="9" spans="1:18" x14ac:dyDescent="0.2">
      <c r="A9" t="s">
        <v>28</v>
      </c>
      <c r="B9" t="s">
        <v>29</v>
      </c>
      <c r="C9" s="5" t="str">
        <f>IF(G9&gt;45, IF(G9&lt;52, IF((N9+O9)&lt;5,"basalt","alkali basalt")),IF(G9&lt;57,IF((N9+O9)&lt;6,"basaltic andesite","alkali intermediate"), IF((N9+O9)&lt;3, "picro-basalt","basanite")))</f>
        <v>basalt</v>
      </c>
      <c r="D9" s="5" t="str">
        <f>IF(R9=0,"H2O",IF(Q9&lt;0.4,"CO2","none"))</f>
        <v>H2O</v>
      </c>
      <c r="E9">
        <v>1250</v>
      </c>
      <c r="F9">
        <v>5000</v>
      </c>
      <c r="G9" s="6">
        <v>50.175017501750176</v>
      </c>
      <c r="H9" s="6">
        <v>0.92009200920092016</v>
      </c>
      <c r="I9" s="6">
        <v>18.281828182818284</v>
      </c>
      <c r="J9" s="6">
        <v>9.3709370937093706</v>
      </c>
      <c r="K9" s="6">
        <v>0.17001700170017003</v>
      </c>
      <c r="L9" s="6">
        <v>7.0007000700070012</v>
      </c>
      <c r="M9" s="6">
        <v>11.371137113711372</v>
      </c>
      <c r="N9" s="6">
        <v>2.3302330233023305</v>
      </c>
      <c r="O9" s="6">
        <v>0.23002300230023004</v>
      </c>
      <c r="P9" s="6">
        <v>0.15001500150015001</v>
      </c>
      <c r="Q9" s="6">
        <v>8.81</v>
      </c>
      <c r="R9" s="7"/>
    </row>
    <row r="10" spans="1:18" x14ac:dyDescent="0.2">
      <c r="A10" t="s">
        <v>30</v>
      </c>
      <c r="B10" t="s">
        <v>26</v>
      </c>
      <c r="C10" s="5" t="str">
        <f>IF(G10&gt;45, IF(G10&lt;52, IF((N10+O10)&lt;5,"basalt","alkali basalt")),IF(G10&lt;57,IF((N10+O10)&lt;6,"basaltic andesite","alkali intermediate"), IF((N10+O10)&lt;3, "picro-basalt","basanite")))</f>
        <v>basalt</v>
      </c>
      <c r="D10" s="5" t="str">
        <f>IF(R10=0,"H2O",IF(Q10&lt;0.4,"CO2","none"))</f>
        <v>H2O</v>
      </c>
      <c r="E10">
        <v>1200</v>
      </c>
      <c r="F10">
        <v>5000</v>
      </c>
      <c r="G10" s="6">
        <v>50.687668826289169</v>
      </c>
      <c r="H10" s="6">
        <v>1.4613248167028863</v>
      </c>
      <c r="I10" s="6">
        <v>16.952787030079005</v>
      </c>
      <c r="J10" s="6">
        <v>8.5116883644413761</v>
      </c>
      <c r="K10" s="6">
        <v>0.13290310132623842</v>
      </c>
      <c r="L10" s="6">
        <v>7.4805913235981061</v>
      </c>
      <c r="M10" s="6">
        <v>12.027337165140036</v>
      </c>
      <c r="N10" s="6">
        <v>2.5229248329508298</v>
      </c>
      <c r="O10" s="6">
        <v>0.22277453947234802</v>
      </c>
      <c r="P10" s="6">
        <v>0</v>
      </c>
      <c r="Q10" s="6">
        <v>8.85</v>
      </c>
      <c r="R10" s="7"/>
    </row>
    <row r="11" spans="1:18" x14ac:dyDescent="0.2">
      <c r="A11" s="4" t="s">
        <v>31</v>
      </c>
      <c r="B11" s="4" t="s">
        <v>31</v>
      </c>
      <c r="C11" s="5" t="str">
        <f>IF(G11&gt;45, IF(G11&lt;52, IF((N11+O11)&lt;5,"basalt","alkali basalt")),IF(G11&lt;57,IF((N11+O11)&lt;6,"basaltic andesite","alkali intermediate"), IF((N11+O11)&lt;3, "picro-basalt","basanite")))</f>
        <v>basalt</v>
      </c>
      <c r="D11" s="5" t="str">
        <f>IF(R11=0,"H2O",IF(Q11&lt;0.4,"CO2","none"))</f>
        <v>H2O</v>
      </c>
      <c r="E11">
        <v>1200</v>
      </c>
      <c r="F11">
        <v>3948</v>
      </c>
      <c r="G11" s="6">
        <v>49.4</v>
      </c>
      <c r="H11" s="6">
        <v>0.8</v>
      </c>
      <c r="I11" s="6">
        <v>15.8</v>
      </c>
      <c r="J11" s="6">
        <v>7.64</v>
      </c>
      <c r="K11" s="6"/>
      <c r="L11" s="6">
        <v>8</v>
      </c>
      <c r="M11" s="6">
        <v>12.7</v>
      </c>
      <c r="N11" s="6">
        <v>2.2999999999999998</v>
      </c>
      <c r="O11" s="6">
        <v>1.9</v>
      </c>
      <c r="P11" s="6">
        <v>0.4</v>
      </c>
      <c r="Q11" s="6">
        <v>8.4700000000000006</v>
      </c>
      <c r="R11" s="7"/>
    </row>
    <row r="12" spans="1:18" x14ac:dyDescent="0.2">
      <c r="A12" s="4" t="s">
        <v>21</v>
      </c>
      <c r="B12" s="4" t="s">
        <v>21</v>
      </c>
      <c r="C12" s="5" t="str">
        <f>IF(G12&gt;45, IF(G12&lt;52, IF((N12+O12)&lt;5,"basalt","alkali basalt")),IF(G12&lt;57,IF((N12+O12)&lt;6,"basaltic andesite","alkali intermediate"), IF((N12+O12)&lt;3, "picro-basalt","basanite")))</f>
        <v>basalt</v>
      </c>
      <c r="D12" s="5" t="str">
        <f>IF(R12=0,"H2O",IF(Q12&lt;0.4,"CO2","none"))</f>
        <v>H2O</v>
      </c>
      <c r="E12">
        <v>1200</v>
      </c>
      <c r="F12">
        <v>3043</v>
      </c>
      <c r="G12" s="6">
        <v>49.64</v>
      </c>
      <c r="H12" s="6">
        <v>0.87</v>
      </c>
      <c r="I12" s="6">
        <v>16.07</v>
      </c>
      <c r="J12" s="6">
        <v>8.6300000000000008</v>
      </c>
      <c r="K12" s="6"/>
      <c r="L12" s="6"/>
      <c r="M12" s="6">
        <v>12.44</v>
      </c>
      <c r="N12" s="6">
        <v>2.2799999999999998</v>
      </c>
      <c r="O12" s="6">
        <v>0.08</v>
      </c>
      <c r="P12" s="6">
        <v>0.08</v>
      </c>
      <c r="Q12" s="6">
        <v>6.27</v>
      </c>
      <c r="R12" s="7"/>
    </row>
    <row r="13" spans="1:18" x14ac:dyDescent="0.2">
      <c r="A13">
        <v>27</v>
      </c>
      <c r="B13" t="s">
        <v>22</v>
      </c>
      <c r="C13" s="5" t="str">
        <f>IF(G13&gt;45, IF(G13&lt;52, IF((N13+O13)&lt;5,"basalt","alkali basalt")),IF(G13&lt;57,IF((N13+O13)&lt;6,"basaltic andesite","alkali intermediate"), IF((N13+O13)&lt;3, "picro-basalt","basanite")))</f>
        <v>basalt</v>
      </c>
      <c r="D13" s="5" t="str">
        <f>IF(R13=0,"H2O",IF(Q13&lt;0.4,"CO2","none"))</f>
        <v>H2O</v>
      </c>
      <c r="E13">
        <v>1200</v>
      </c>
      <c r="F13">
        <v>3043</v>
      </c>
      <c r="G13" s="6">
        <v>49.64</v>
      </c>
      <c r="H13" s="6">
        <v>0.87</v>
      </c>
      <c r="I13" s="6">
        <v>16.07</v>
      </c>
      <c r="J13" s="6">
        <v>8.6300000000000008</v>
      </c>
      <c r="K13" s="6">
        <v>0.15</v>
      </c>
      <c r="L13" s="6">
        <v>9.76</v>
      </c>
      <c r="M13" s="6">
        <v>12.44</v>
      </c>
      <c r="N13" s="6">
        <v>2.2799999999999998</v>
      </c>
      <c r="O13" s="6">
        <v>0.08</v>
      </c>
      <c r="P13" s="6">
        <v>0.08</v>
      </c>
      <c r="Q13" s="6">
        <v>6.27</v>
      </c>
      <c r="R13" s="7"/>
    </row>
    <row r="14" spans="1:18" x14ac:dyDescent="0.2">
      <c r="A14" t="s">
        <v>28</v>
      </c>
      <c r="B14" t="s">
        <v>29</v>
      </c>
      <c r="C14" s="5" t="str">
        <f>IF(G14&gt;45, IF(G14&lt;52, IF((N14+O14)&lt;5,"basalt","alkali basalt")),IF(G14&lt;57,IF((N14+O14)&lt;6,"basaltic andesite","alkali intermediate"), IF((N14+O14)&lt;3, "picro-basalt","basanite")))</f>
        <v>basalt</v>
      </c>
      <c r="D14" s="5" t="str">
        <f>IF(R14=0,"H2O",IF(Q14&lt;0.4,"CO2","none"))</f>
        <v>H2O</v>
      </c>
      <c r="E14">
        <v>1250</v>
      </c>
      <c r="F14">
        <v>3000</v>
      </c>
      <c r="G14" s="6">
        <v>50.175017501750176</v>
      </c>
      <c r="H14" s="6">
        <v>0.92009200920092016</v>
      </c>
      <c r="I14" s="6">
        <v>18.281828182818284</v>
      </c>
      <c r="J14" s="6">
        <v>9.3709370937093706</v>
      </c>
      <c r="K14" s="6">
        <v>0.17001700170017003</v>
      </c>
      <c r="L14" s="6">
        <v>7.0007000700070012</v>
      </c>
      <c r="M14" s="6">
        <v>11.371137113711372</v>
      </c>
      <c r="N14" s="6">
        <v>2.3302330233023305</v>
      </c>
      <c r="O14" s="6">
        <v>0.23002300230023004</v>
      </c>
      <c r="P14" s="6">
        <v>0.15001500150015001</v>
      </c>
      <c r="Q14" s="6">
        <v>6.25</v>
      </c>
      <c r="R14" s="7"/>
    </row>
    <row r="15" spans="1:18" x14ac:dyDescent="0.2">
      <c r="A15" s="4" t="s">
        <v>18</v>
      </c>
      <c r="B15" s="4" t="s">
        <v>18</v>
      </c>
      <c r="C15" s="5" t="str">
        <f>IF(G15&gt;45, IF(G15&lt;52, IF((N15+O15)&lt;5,"basalt","alkali basalt")),IF(G15&lt;57,IF((N15+O15)&lt;6,"basaltic andesite","alkali intermediate"), IF((N15+O15)&lt;3, "picro-basalt","basanite")))</f>
        <v>basalt</v>
      </c>
      <c r="D15" s="5" t="str">
        <f>IF(R15=0,"H2O",IF(Q15&lt;0.4,"CO2","none"))</f>
        <v>H2O</v>
      </c>
      <c r="E15">
        <v>1100</v>
      </c>
      <c r="F15">
        <v>3000</v>
      </c>
      <c r="G15" s="6">
        <v>50.71</v>
      </c>
      <c r="H15" s="6">
        <v>1.7</v>
      </c>
      <c r="I15" s="6">
        <v>14.48</v>
      </c>
      <c r="J15" s="6">
        <v>13.96</v>
      </c>
      <c r="K15" s="6"/>
      <c r="L15" s="6">
        <v>4.68</v>
      </c>
      <c r="M15" s="6">
        <v>8.83</v>
      </c>
      <c r="N15" s="6">
        <v>3.16</v>
      </c>
      <c r="O15" s="6">
        <v>0.77</v>
      </c>
      <c r="P15" s="6">
        <v>0.36</v>
      </c>
      <c r="Q15" s="6">
        <v>5.93</v>
      </c>
      <c r="R15" s="7"/>
    </row>
    <row r="16" spans="1:18" x14ac:dyDescent="0.2">
      <c r="A16" t="s">
        <v>32</v>
      </c>
      <c r="B16" t="s">
        <v>33</v>
      </c>
      <c r="C16" s="5" t="str">
        <f>IF(G16&gt;45, IF(G16&lt;52, IF((N16+O16)&lt;5,"basalt","alkali basalt")),IF(G16&lt;57,IF((N16+O16)&lt;6,"basaltic andesite","alkali intermediate"), IF((N16+O16)&lt;3, "picro-basalt","basanite")))</f>
        <v>basalt</v>
      </c>
      <c r="D16" s="5" t="str">
        <f>IF(R16=0,"H2O",IF(Q16&lt;0.4,"CO2","none"))</f>
        <v>H2O</v>
      </c>
      <c r="E16">
        <v>1100</v>
      </c>
      <c r="F16">
        <v>3000</v>
      </c>
      <c r="G16" s="6">
        <v>50.71</v>
      </c>
      <c r="H16" s="6">
        <v>1.7</v>
      </c>
      <c r="I16" s="6">
        <v>14.48</v>
      </c>
      <c r="J16" s="6">
        <v>13.470022</v>
      </c>
      <c r="K16" s="6">
        <v>0.22</v>
      </c>
      <c r="L16" s="6">
        <v>4.68</v>
      </c>
      <c r="M16" s="6">
        <v>8.83</v>
      </c>
      <c r="N16" s="6">
        <v>3.16</v>
      </c>
      <c r="O16" s="6">
        <v>0.77</v>
      </c>
      <c r="P16" s="6">
        <v>0.36</v>
      </c>
      <c r="Q16" s="6">
        <v>5.93</v>
      </c>
      <c r="R16" s="7"/>
    </row>
    <row r="17" spans="1:18" x14ac:dyDescent="0.2">
      <c r="A17" s="4" t="s">
        <v>31</v>
      </c>
      <c r="B17" s="4" t="s">
        <v>31</v>
      </c>
      <c r="C17" s="5" t="str">
        <f>IF(G17&gt;45, IF(G17&lt;52, IF((N17+O17)&lt;5,"basalt","alkali basalt")),IF(G17&lt;57,IF((N17+O17)&lt;6,"basaltic andesite","alkali intermediate"), IF((N17+O17)&lt;3, "picro-basalt","basanite")))</f>
        <v>basalt</v>
      </c>
      <c r="D17" s="5" t="str">
        <f>IF(R17=0,"H2O",IF(Q17&lt;0.4,"CO2","none"))</f>
        <v>H2O</v>
      </c>
      <c r="E17">
        <v>1200</v>
      </c>
      <c r="F17">
        <v>2760</v>
      </c>
      <c r="G17" s="6">
        <v>49.4</v>
      </c>
      <c r="H17" s="6">
        <v>0.8</v>
      </c>
      <c r="I17" s="6">
        <v>15.8</v>
      </c>
      <c r="J17" s="6">
        <v>7.64</v>
      </c>
      <c r="K17" s="6"/>
      <c r="L17" s="6">
        <v>8</v>
      </c>
      <c r="M17" s="6">
        <v>12.7</v>
      </c>
      <c r="N17" s="6">
        <v>2.2999999999999998</v>
      </c>
      <c r="O17" s="6">
        <v>1.9</v>
      </c>
      <c r="P17" s="6">
        <v>0.4</v>
      </c>
      <c r="Q17" s="6">
        <v>5.99</v>
      </c>
      <c r="R17" s="7"/>
    </row>
    <row r="18" spans="1:18" x14ac:dyDescent="0.2">
      <c r="A18" s="4" t="s">
        <v>31</v>
      </c>
      <c r="B18" s="4" t="s">
        <v>31</v>
      </c>
      <c r="C18" s="5" t="str">
        <f>IF(G18&gt;45, IF(G18&lt;52, IF((N18+O18)&lt;5,"basalt","alkali basalt")),IF(G18&lt;57,IF((N18+O18)&lt;6,"basaltic andesite","alkali intermediate"), IF((N18+O18)&lt;3, "picro-basalt","basanite")))</f>
        <v>basalt</v>
      </c>
      <c r="D18" s="5" t="str">
        <f>IF(R18=0,"H2O",IF(Q18&lt;0.4,"CO2","none"))</f>
        <v>H2O</v>
      </c>
      <c r="E18">
        <v>1200</v>
      </c>
      <c r="F18">
        <v>2138</v>
      </c>
      <c r="G18" s="6">
        <v>49.4</v>
      </c>
      <c r="H18" s="6">
        <v>0.8</v>
      </c>
      <c r="I18" s="6">
        <v>15.8</v>
      </c>
      <c r="J18" s="6">
        <v>7.64</v>
      </c>
      <c r="K18" s="6"/>
      <c r="L18" s="6">
        <v>8</v>
      </c>
      <c r="M18" s="6">
        <v>12.7</v>
      </c>
      <c r="N18" s="6">
        <v>2.2999999999999998</v>
      </c>
      <c r="O18" s="6">
        <v>1.9</v>
      </c>
      <c r="P18" s="6">
        <v>0.4</v>
      </c>
      <c r="Q18" s="6">
        <v>5.19</v>
      </c>
      <c r="R18" s="7"/>
    </row>
    <row r="19" spans="1:18" x14ac:dyDescent="0.2">
      <c r="A19" s="4" t="s">
        <v>31</v>
      </c>
      <c r="B19" s="4" t="s">
        <v>31</v>
      </c>
      <c r="C19" s="5" t="str">
        <f>IF(G19&gt;45, IF(G19&lt;52, IF((N19+O19)&lt;5,"basalt","alkali basalt")),IF(G19&lt;57,IF((N19+O19)&lt;6,"basaltic andesite","alkali intermediate"), IF((N19+O19)&lt;3, "picro-basalt","basanite")))</f>
        <v>basalt</v>
      </c>
      <c r="D19" s="5" t="str">
        <f>IF(R19=0,"H2O",IF(Q19&lt;0.4,"CO2","none"))</f>
        <v>H2O</v>
      </c>
      <c r="E19">
        <v>1200</v>
      </c>
      <c r="F19">
        <v>2059</v>
      </c>
      <c r="G19" s="6">
        <v>49.4</v>
      </c>
      <c r="H19" s="6">
        <v>0.8</v>
      </c>
      <c r="I19" s="6">
        <v>15.8</v>
      </c>
      <c r="J19" s="6">
        <v>7.64</v>
      </c>
      <c r="K19" s="6"/>
      <c r="L19" s="6">
        <v>8</v>
      </c>
      <c r="M19" s="6">
        <v>12.7</v>
      </c>
      <c r="N19" s="6">
        <v>2.2999999999999998</v>
      </c>
      <c r="O19" s="6">
        <v>1.9</v>
      </c>
      <c r="P19" s="6">
        <v>0.4</v>
      </c>
      <c r="Q19" s="6">
        <v>4.92</v>
      </c>
      <c r="R19" s="7"/>
    </row>
    <row r="20" spans="1:18" x14ac:dyDescent="0.2">
      <c r="A20" t="s">
        <v>34</v>
      </c>
      <c r="B20" t="s">
        <v>35</v>
      </c>
      <c r="C20" s="5" t="str">
        <f>IF(G20&gt;45, IF(G20&lt;52, IF((N20+O20)&lt;5,"basalt","alkali basalt")),IF(G20&lt;57,IF((N20+O20)&lt;6,"basaltic andesite","alkali intermediate"), IF((N20+O20)&lt;3, "picro-basalt","basanite")))</f>
        <v>basalt</v>
      </c>
      <c r="D20" s="5" t="str">
        <f>IF(R20=0,"H2O",IF(Q20&lt;0.4,"CO2","none"))</f>
        <v>H2O</v>
      </c>
      <c r="E20">
        <v>1200</v>
      </c>
      <c r="F20">
        <v>2059</v>
      </c>
      <c r="G20" s="6">
        <v>49.828525317732499</v>
      </c>
      <c r="H20" s="6">
        <v>0.80693968125882587</v>
      </c>
      <c r="I20" s="6">
        <v>15.937058704861812</v>
      </c>
      <c r="J20" s="6">
        <v>7.7062739560217874</v>
      </c>
      <c r="K20" s="6">
        <v>0.20173492031470647</v>
      </c>
      <c r="L20" s="6">
        <v>8.0693968125882591</v>
      </c>
      <c r="M20" s="6">
        <v>12.810167439983861</v>
      </c>
      <c r="N20" s="6">
        <v>2.3199515836191242</v>
      </c>
      <c r="O20" s="6">
        <v>1.9164817429897114</v>
      </c>
      <c r="P20" s="6">
        <v>0.40346984062941293</v>
      </c>
      <c r="Q20" s="6">
        <v>4.92</v>
      </c>
      <c r="R20" s="7"/>
    </row>
    <row r="21" spans="1:18" x14ac:dyDescent="0.2">
      <c r="A21" s="4" t="s">
        <v>21</v>
      </c>
      <c r="B21" s="4" t="s">
        <v>21</v>
      </c>
      <c r="C21" s="5" t="str">
        <f>IF(G21&gt;45, IF(G21&lt;52, IF((N21+O21)&lt;5,"basalt","alkali basalt")),IF(G21&lt;57,IF((N21+O21)&lt;6,"basaltic andesite","alkali intermediate"), IF((N21+O21)&lt;3, "picro-basalt","basanite")))</f>
        <v>basalt</v>
      </c>
      <c r="D21" s="5" t="str">
        <f>IF(R21=0,"H2O",IF(Q21&lt;0.4,"CO2","none"))</f>
        <v>H2O</v>
      </c>
      <c r="E21">
        <v>1200</v>
      </c>
      <c r="F21">
        <v>2033</v>
      </c>
      <c r="G21" s="6">
        <v>49.64</v>
      </c>
      <c r="H21" s="6">
        <v>0.87</v>
      </c>
      <c r="I21" s="6">
        <v>16.07</v>
      </c>
      <c r="J21" s="6">
        <v>8.6300000000000008</v>
      </c>
      <c r="K21" s="6"/>
      <c r="L21" s="6"/>
      <c r="M21" s="6">
        <v>12.44</v>
      </c>
      <c r="N21" s="6">
        <v>2.2799999999999998</v>
      </c>
      <c r="O21" s="6">
        <v>0.08</v>
      </c>
      <c r="P21" s="6">
        <v>0.08</v>
      </c>
      <c r="Q21" s="6">
        <v>4.46</v>
      </c>
      <c r="R21" s="7"/>
    </row>
    <row r="22" spans="1:18" x14ac:dyDescent="0.2">
      <c r="A22" s="4" t="s">
        <v>21</v>
      </c>
      <c r="B22" s="4" t="s">
        <v>21</v>
      </c>
      <c r="C22" s="5" t="str">
        <f>IF(G22&gt;45, IF(G22&lt;52, IF((N22+O22)&lt;5,"basalt","alkali basalt")),IF(G22&lt;57,IF((N22+O22)&lt;6,"basaltic andesite","alkali intermediate"), IF((N22+O22)&lt;3, "picro-basalt","basanite")))</f>
        <v>basalt</v>
      </c>
      <c r="D22" s="5" t="str">
        <f>IF(R22=0,"H2O",IF(Q22&lt;0.4,"CO2","none"))</f>
        <v>H2O</v>
      </c>
      <c r="E22">
        <v>1200</v>
      </c>
      <c r="F22">
        <v>2021</v>
      </c>
      <c r="G22" s="6">
        <v>49.64</v>
      </c>
      <c r="H22" s="6">
        <v>0.87</v>
      </c>
      <c r="I22" s="6">
        <v>16.07</v>
      </c>
      <c r="J22" s="6">
        <v>8.6300000000000008</v>
      </c>
      <c r="K22" s="6"/>
      <c r="L22" s="6"/>
      <c r="M22" s="6">
        <v>12.44</v>
      </c>
      <c r="N22" s="6">
        <v>2.2799999999999998</v>
      </c>
      <c r="O22" s="6">
        <v>0.08</v>
      </c>
      <c r="P22" s="6">
        <v>0.08</v>
      </c>
      <c r="Q22" s="6">
        <v>4.8</v>
      </c>
      <c r="R22" s="7"/>
    </row>
    <row r="23" spans="1:18" x14ac:dyDescent="0.2">
      <c r="A23">
        <v>23</v>
      </c>
      <c r="B23" t="s">
        <v>22</v>
      </c>
      <c r="C23" s="5" t="str">
        <f>IF(G23&gt;45, IF(G23&lt;52, IF((N23+O23)&lt;5,"basalt","alkali basalt")),IF(G23&lt;57,IF((N23+O23)&lt;6,"basaltic andesite","alkali intermediate"), IF((N23+O23)&lt;3, "picro-basalt","basanite")))</f>
        <v>basalt</v>
      </c>
      <c r="D23" s="5" t="str">
        <f>IF(R23=0,"H2O",IF(Q23&lt;0.4,"CO2","none"))</f>
        <v>H2O</v>
      </c>
      <c r="E23">
        <v>1200</v>
      </c>
      <c r="F23">
        <v>2021</v>
      </c>
      <c r="G23" s="6">
        <v>49.64</v>
      </c>
      <c r="H23" s="6">
        <v>0.87</v>
      </c>
      <c r="I23" s="6">
        <v>16.07</v>
      </c>
      <c r="J23" s="6">
        <v>8.6300000000000008</v>
      </c>
      <c r="K23" s="6">
        <v>0.15</v>
      </c>
      <c r="L23" s="6">
        <v>9.76</v>
      </c>
      <c r="M23" s="6">
        <v>12.44</v>
      </c>
      <c r="N23" s="6">
        <v>2.2799999999999998</v>
      </c>
      <c r="O23" s="6">
        <v>0.08</v>
      </c>
      <c r="P23" s="6">
        <v>0.08</v>
      </c>
      <c r="Q23" s="6">
        <v>4.8</v>
      </c>
      <c r="R23" s="7"/>
    </row>
    <row r="24" spans="1:18" x14ac:dyDescent="0.2">
      <c r="A24" t="s">
        <v>25</v>
      </c>
      <c r="B24" t="s">
        <v>36</v>
      </c>
      <c r="C24" s="5" t="str">
        <f>IF(G24&gt;45, IF(G24&lt;52, IF((N24+O24)&lt;5,"basalt","alkali basalt")),IF(G24&lt;57,IF((N24+O24)&lt;6,"basaltic andesite","alkali intermediate"), IF((N24+O24)&lt;3, "picro-basalt","basanite")))</f>
        <v>basalt</v>
      </c>
      <c r="D24" s="5" t="str">
        <f>IF(R24=0,"H2O",IF(Q24&lt;0.4,"CO2","none"))</f>
        <v>H2O</v>
      </c>
      <c r="E24">
        <v>1200</v>
      </c>
      <c r="F24">
        <v>2000</v>
      </c>
      <c r="G24" s="6">
        <v>48.882596824754778</v>
      </c>
      <c r="H24" s="6">
        <v>2.8921023359288096</v>
      </c>
      <c r="I24" s="6">
        <v>14.773991303468501</v>
      </c>
      <c r="J24" s="6">
        <v>13.054909495398928</v>
      </c>
      <c r="K24" s="6">
        <v>0</v>
      </c>
      <c r="L24" s="6">
        <v>6.4718373950854486</v>
      </c>
      <c r="M24" s="6">
        <v>10.992011325715442</v>
      </c>
      <c r="N24" s="6">
        <v>2.6291839417534635</v>
      </c>
      <c r="O24" s="6">
        <v>0.30336737789463042</v>
      </c>
      <c r="P24" s="6">
        <v>0</v>
      </c>
      <c r="Q24" s="6">
        <v>4.67</v>
      </c>
      <c r="R24" s="7"/>
    </row>
    <row r="25" spans="1:18" x14ac:dyDescent="0.2">
      <c r="A25" t="s">
        <v>28</v>
      </c>
      <c r="B25" t="s">
        <v>29</v>
      </c>
      <c r="C25" s="5" t="str">
        <f>IF(G25&gt;45, IF(G25&lt;52, IF((N25+O25)&lt;5,"basalt","alkali basalt")),IF(G25&lt;57,IF((N25+O25)&lt;6,"basaltic andesite","alkali intermediate"), IF((N25+O25)&lt;3, "picro-basalt","basanite")))</f>
        <v>basalt</v>
      </c>
      <c r="D25" s="5" t="str">
        <f>IF(R25=0,"H2O",IF(Q25&lt;0.4,"CO2","none"))</f>
        <v>H2O</v>
      </c>
      <c r="E25">
        <v>1250</v>
      </c>
      <c r="F25">
        <v>2000</v>
      </c>
      <c r="G25" s="6">
        <v>50.175017501750176</v>
      </c>
      <c r="H25" s="6">
        <v>0.92009200920092016</v>
      </c>
      <c r="I25" s="6">
        <v>18.281828182818284</v>
      </c>
      <c r="J25" s="6">
        <v>9.3709370937093706</v>
      </c>
      <c r="K25" s="6">
        <v>0.17001700170017003</v>
      </c>
      <c r="L25" s="6">
        <v>7.0007000700070012</v>
      </c>
      <c r="M25" s="6">
        <v>11.371137113711372</v>
      </c>
      <c r="N25" s="6">
        <v>2.3302330233023305</v>
      </c>
      <c r="O25" s="6">
        <v>0.23002300230023004</v>
      </c>
      <c r="P25" s="6">
        <v>0.15001500150015001</v>
      </c>
      <c r="Q25" s="6">
        <v>4.95</v>
      </c>
      <c r="R25" s="7"/>
    </row>
    <row r="26" spans="1:18" x14ac:dyDescent="0.2">
      <c r="A26" s="4" t="s">
        <v>21</v>
      </c>
      <c r="B26" s="4" t="s">
        <v>21</v>
      </c>
      <c r="C26" s="5" t="str">
        <f>IF(G26&gt;45, IF(G26&lt;52, IF((N26+O26)&lt;5,"basalt","alkali basalt")),IF(G26&lt;57,IF((N26+O26)&lt;6,"basaltic andesite","alkali intermediate"), IF((N26+O26)&lt;3, "picro-basalt","basanite")))</f>
        <v>basalt</v>
      </c>
      <c r="D26" s="5" t="str">
        <f>IF(R26=0,"H2O",IF(Q26&lt;0.4,"CO2","none"))</f>
        <v>H2O</v>
      </c>
      <c r="E26">
        <v>1200</v>
      </c>
      <c r="F26">
        <v>1023</v>
      </c>
      <c r="G26" s="6">
        <v>49.64</v>
      </c>
      <c r="H26" s="6">
        <v>0.87</v>
      </c>
      <c r="I26" s="6">
        <v>16.07</v>
      </c>
      <c r="J26" s="6">
        <v>8.6300000000000008</v>
      </c>
      <c r="K26" s="6"/>
      <c r="L26" s="6"/>
      <c r="M26" s="6">
        <v>12.44</v>
      </c>
      <c r="N26" s="6">
        <v>2.2799999999999998</v>
      </c>
      <c r="O26" s="6">
        <v>0.08</v>
      </c>
      <c r="P26" s="6">
        <v>0.08</v>
      </c>
      <c r="Q26" s="6">
        <v>3.32</v>
      </c>
      <c r="R26" s="7"/>
    </row>
    <row r="27" spans="1:18" x14ac:dyDescent="0.2">
      <c r="A27">
        <v>24</v>
      </c>
      <c r="B27" t="s">
        <v>22</v>
      </c>
      <c r="C27" s="5" t="str">
        <f>IF(G27&gt;45, IF(G27&lt;52, IF((N27+O27)&lt;5,"basalt","alkali basalt")),IF(G27&lt;57,IF((N27+O27)&lt;6,"basaltic andesite","alkali intermediate"), IF((N27+O27)&lt;3, "picro-basalt","basanite")))</f>
        <v>basalt</v>
      </c>
      <c r="D27" s="5" t="str">
        <f>IF(R27=0,"H2O",IF(Q27&lt;0.4,"CO2","none"))</f>
        <v>H2O</v>
      </c>
      <c r="E27">
        <v>1200</v>
      </c>
      <c r="F27">
        <v>1023</v>
      </c>
      <c r="G27" s="6">
        <v>49.64</v>
      </c>
      <c r="H27" s="6">
        <v>0.87</v>
      </c>
      <c r="I27" s="6">
        <v>16.07</v>
      </c>
      <c r="J27" s="6">
        <v>8.6300000000000008</v>
      </c>
      <c r="K27" s="6">
        <v>0.15</v>
      </c>
      <c r="L27" s="6">
        <v>9.76</v>
      </c>
      <c r="M27" s="6">
        <v>12.44</v>
      </c>
      <c r="N27" s="6">
        <v>2.2799999999999998</v>
      </c>
      <c r="O27" s="6">
        <v>0.08</v>
      </c>
      <c r="P27" s="6">
        <v>0.08</v>
      </c>
      <c r="Q27" s="6">
        <v>3.32</v>
      </c>
      <c r="R27" s="7"/>
    </row>
    <row r="28" spans="1:18" x14ac:dyDescent="0.2">
      <c r="A28" s="4" t="s">
        <v>21</v>
      </c>
      <c r="B28" s="4" t="s">
        <v>21</v>
      </c>
      <c r="C28" s="5" t="str">
        <f>IF(G28&gt;45, IF(G28&lt;52, IF((N28+O28)&lt;5,"basalt","alkali basalt")),IF(G28&lt;57,IF((N28+O28)&lt;6,"basaltic andesite","alkali intermediate"), IF((N28+O28)&lt;3, "picro-basalt","basanite")))</f>
        <v>basalt</v>
      </c>
      <c r="D28" s="5" t="str">
        <f>IF(R28=0,"H2O",IF(Q28&lt;0.4,"CO2","none"))</f>
        <v>H2O</v>
      </c>
      <c r="E28">
        <v>1200</v>
      </c>
      <c r="F28">
        <v>1019</v>
      </c>
      <c r="G28" s="6">
        <v>49.64</v>
      </c>
      <c r="H28" s="6">
        <v>0.87</v>
      </c>
      <c r="I28" s="6">
        <v>16.07</v>
      </c>
      <c r="J28" s="6">
        <v>8.6300000000000008</v>
      </c>
      <c r="K28" s="6"/>
      <c r="L28" s="6"/>
      <c r="M28" s="6">
        <v>12.44</v>
      </c>
      <c r="N28" s="6">
        <v>2.2799999999999998</v>
      </c>
      <c r="O28" s="6">
        <v>0.08</v>
      </c>
      <c r="P28" s="6">
        <v>0.08</v>
      </c>
      <c r="Q28" s="6">
        <v>3.05</v>
      </c>
      <c r="R28" s="7"/>
    </row>
    <row r="29" spans="1:18" x14ac:dyDescent="0.2">
      <c r="A29" s="4" t="s">
        <v>21</v>
      </c>
      <c r="B29" s="4" t="s">
        <v>21</v>
      </c>
      <c r="C29" s="5" t="str">
        <f>IF(G29&gt;45, IF(G29&lt;52, IF((N29+O29)&lt;5,"basalt","alkali basalt")),IF(G29&lt;57,IF((N29+O29)&lt;6,"basaltic andesite","alkali intermediate"), IF((N29+O29)&lt;3, "picro-basalt","basanite")))</f>
        <v>basalt</v>
      </c>
      <c r="D29" s="5" t="str">
        <f>IF(R29=0,"H2O",IF(Q29&lt;0.4,"CO2","none"))</f>
        <v>H2O</v>
      </c>
      <c r="E29">
        <v>1200</v>
      </c>
      <c r="F29">
        <v>1019</v>
      </c>
      <c r="G29" s="6">
        <v>49.64</v>
      </c>
      <c r="H29" s="6">
        <v>0.87</v>
      </c>
      <c r="I29" s="6">
        <v>16.07</v>
      </c>
      <c r="J29" s="6">
        <v>8.6300000000000008</v>
      </c>
      <c r="K29" s="6"/>
      <c r="L29" s="6"/>
      <c r="M29" s="6">
        <v>12.44</v>
      </c>
      <c r="N29" s="6">
        <v>2.2799999999999998</v>
      </c>
      <c r="O29" s="6">
        <v>0.08</v>
      </c>
      <c r="P29" s="6">
        <v>0.08</v>
      </c>
      <c r="Q29" s="6">
        <v>3.18</v>
      </c>
      <c r="R29" s="7"/>
    </row>
    <row r="30" spans="1:18" x14ac:dyDescent="0.2">
      <c r="A30" s="4" t="s">
        <v>31</v>
      </c>
      <c r="B30" s="4" t="s">
        <v>31</v>
      </c>
      <c r="C30" s="5" t="str">
        <f>IF(G30&gt;45, IF(G30&lt;52, IF((N30+O30)&lt;5,"basalt","alkali basalt")),IF(G30&lt;57,IF((N30+O30)&lt;6,"basaltic andesite","alkali intermediate"), IF((N30+O30)&lt;3, "picro-basalt","basanite")))</f>
        <v>basalt</v>
      </c>
      <c r="D30" s="5" t="str">
        <f>IF(R30=0,"H2O",IF(Q30&lt;0.4,"CO2","none"))</f>
        <v>H2O</v>
      </c>
      <c r="E30">
        <v>1200</v>
      </c>
      <c r="F30">
        <v>1013</v>
      </c>
      <c r="G30" s="6">
        <v>49.4</v>
      </c>
      <c r="H30" s="6">
        <v>0.8</v>
      </c>
      <c r="I30" s="6">
        <v>15.8</v>
      </c>
      <c r="J30" s="6">
        <v>7.64</v>
      </c>
      <c r="K30" s="6"/>
      <c r="L30" s="6">
        <v>8</v>
      </c>
      <c r="M30" s="6">
        <v>12.7</v>
      </c>
      <c r="N30" s="6">
        <v>2.2999999999999998</v>
      </c>
      <c r="O30" s="6">
        <v>1.9</v>
      </c>
      <c r="P30" s="6">
        <v>0.4</v>
      </c>
      <c r="Q30" s="6">
        <v>3.14</v>
      </c>
      <c r="R30" s="7"/>
    </row>
    <row r="31" spans="1:18" x14ac:dyDescent="0.2">
      <c r="A31" t="s">
        <v>34</v>
      </c>
      <c r="B31" t="s">
        <v>35</v>
      </c>
      <c r="C31" s="5" t="str">
        <f>IF(G31&gt;45, IF(G31&lt;52, IF((N31+O31)&lt;5,"basalt","alkali basalt")),IF(G31&lt;57,IF((N31+O31)&lt;6,"basaltic andesite","alkali intermediate"), IF((N31+O31)&lt;3, "picro-basalt","basanite")))</f>
        <v>basalt</v>
      </c>
      <c r="D31" s="5" t="str">
        <f>IF(R31=0,"H2O",IF(Q31&lt;0.4,"CO2","none"))</f>
        <v>H2O</v>
      </c>
      <c r="E31">
        <v>1200</v>
      </c>
      <c r="F31">
        <v>1013</v>
      </c>
      <c r="G31" s="6">
        <v>49.828525317732499</v>
      </c>
      <c r="H31" s="6">
        <v>0.80693968125882587</v>
      </c>
      <c r="I31" s="6">
        <v>15.937058704861812</v>
      </c>
      <c r="J31" s="6">
        <v>7.7062739560217874</v>
      </c>
      <c r="K31" s="6">
        <v>0.20173492031470647</v>
      </c>
      <c r="L31" s="6">
        <v>8.0693968125882591</v>
      </c>
      <c r="M31" s="6">
        <v>12.810167439983861</v>
      </c>
      <c r="N31" s="6">
        <v>2.3199515836191242</v>
      </c>
      <c r="O31" s="6">
        <v>1.9164817429897114</v>
      </c>
      <c r="P31" s="6">
        <v>0.40346984062941293</v>
      </c>
      <c r="Q31" s="6">
        <v>3.14</v>
      </c>
      <c r="R31" s="7"/>
    </row>
    <row r="32" spans="1:18" x14ac:dyDescent="0.2">
      <c r="A32" t="s">
        <v>37</v>
      </c>
      <c r="B32" t="s">
        <v>26</v>
      </c>
      <c r="C32" s="5" t="str">
        <f>IF(G32&gt;45, IF(G32&lt;52, IF((N32+O32)&lt;5,"basalt","alkali basalt")),IF(G32&lt;57,IF((N32+O32)&lt;6,"basaltic andesite","alkali intermediate"), IF((N32+O32)&lt;3, "picro-basalt","basanite")))</f>
        <v>basalt</v>
      </c>
      <c r="D32" s="5" t="str">
        <f>IF(R32=0,"H2O",IF(Q32&lt;0.4,"CO2","none"))</f>
        <v>H2O</v>
      </c>
      <c r="E32">
        <v>1250</v>
      </c>
      <c r="F32">
        <v>1000</v>
      </c>
      <c r="G32" s="6">
        <v>46.237383057570312</v>
      </c>
      <c r="H32" s="6">
        <v>2.7004445744724519</v>
      </c>
      <c r="I32" s="6">
        <v>14.656611392747433</v>
      </c>
      <c r="J32" s="6">
        <v>11.751120432697958</v>
      </c>
      <c r="K32" s="6">
        <v>0.16491264576931006</v>
      </c>
      <c r="L32" s="6">
        <v>8.7197561450522709</v>
      </c>
      <c r="M32" s="6">
        <v>10.636865652120498</v>
      </c>
      <c r="N32" s="6">
        <v>3.5147007629584213</v>
      </c>
      <c r="O32" s="6">
        <v>1.0616251571399333</v>
      </c>
      <c r="P32" s="6">
        <v>0.55658017947142158</v>
      </c>
      <c r="Q32" s="6">
        <v>3.3766454020355945</v>
      </c>
      <c r="R32" s="7"/>
    </row>
    <row r="33" spans="1:18" x14ac:dyDescent="0.2">
      <c r="A33" t="s">
        <v>38</v>
      </c>
      <c r="B33" t="s">
        <v>26</v>
      </c>
      <c r="C33" s="5" t="str">
        <f>IF(G33&gt;45, IF(G33&lt;52, IF((N33+O33)&lt;5,"basalt","alkali basalt")),IF(G33&lt;57,IF((N33+O33)&lt;6,"basaltic andesite","alkali intermediate"), IF((N33+O33)&lt;3, "picro-basalt","basanite")))</f>
        <v>basalt</v>
      </c>
      <c r="D33" s="5" t="str">
        <f>IF(R33=0,"H2O",IF(Q33&lt;0.4,"CO2","none"))</f>
        <v>H2O</v>
      </c>
      <c r="E33">
        <v>1250</v>
      </c>
      <c r="F33">
        <v>1000</v>
      </c>
      <c r="G33" s="6">
        <v>47.327420089842093</v>
      </c>
      <c r="H33" s="6">
        <v>2.3531282911652007</v>
      </c>
      <c r="I33" s="6">
        <v>14.179889962346142</v>
      </c>
      <c r="J33" s="6">
        <v>10.825605797142154</v>
      </c>
      <c r="K33" s="6">
        <v>0.17317394350566412</v>
      </c>
      <c r="L33" s="6">
        <v>10.370063205221534</v>
      </c>
      <c r="M33" s="6">
        <v>9.9422216977369509</v>
      </c>
      <c r="N33" s="6">
        <v>3.5245990854682216</v>
      </c>
      <c r="O33" s="6">
        <v>0.83530960985085034</v>
      </c>
      <c r="P33" s="6">
        <v>0.46858831772120874</v>
      </c>
      <c r="Q33" s="6">
        <v>3.3106770459311177</v>
      </c>
      <c r="R33" s="7"/>
    </row>
    <row r="34" spans="1:18" x14ac:dyDescent="0.2">
      <c r="A34" t="s">
        <v>28</v>
      </c>
      <c r="B34" t="s">
        <v>29</v>
      </c>
      <c r="C34" s="5" t="str">
        <f>IF(G34&gt;45, IF(G34&lt;52, IF((N34+O34)&lt;5,"basalt","alkali basalt")),IF(G34&lt;57,IF((N34+O34)&lt;6,"basaltic andesite","alkali intermediate"), IF((N34+O34)&lt;3, "picro-basalt","basanite")))</f>
        <v>basalt</v>
      </c>
      <c r="D34" s="5" t="str">
        <f>IF(R34=0,"H2O",IF(Q34&lt;0.4,"CO2","none"))</f>
        <v>H2O</v>
      </c>
      <c r="E34">
        <v>1250</v>
      </c>
      <c r="F34">
        <v>1000</v>
      </c>
      <c r="G34" s="6">
        <v>50.175017501750176</v>
      </c>
      <c r="H34" s="6">
        <v>0.92009200920092016</v>
      </c>
      <c r="I34" s="6">
        <v>18.281828182818284</v>
      </c>
      <c r="J34" s="6">
        <v>9.3709370937093706</v>
      </c>
      <c r="K34" s="6">
        <v>0.17001700170017003</v>
      </c>
      <c r="L34" s="6">
        <v>7.0007000700070012</v>
      </c>
      <c r="M34" s="6">
        <v>11.371137113711372</v>
      </c>
      <c r="N34" s="6">
        <v>2.3302330233023305</v>
      </c>
      <c r="O34" s="6">
        <v>0.23002300230023004</v>
      </c>
      <c r="P34" s="6">
        <v>0.15001500150015001</v>
      </c>
      <c r="Q34" s="6">
        <v>2.97</v>
      </c>
      <c r="R34" s="7"/>
    </row>
    <row r="35" spans="1:18" x14ac:dyDescent="0.2">
      <c r="A35" s="4" t="s">
        <v>39</v>
      </c>
      <c r="B35" s="4" t="s">
        <v>39</v>
      </c>
      <c r="C35" s="5" t="str">
        <f>IF(G35&gt;45, IF(G35&lt;52, IF((N35+O35)&lt;5,"basalt","alkali basalt")),IF(G35&lt;57,IF((N35+O35)&lt;6,"basaltic andesite","alkali intermediate"), IF((N35+O35)&lt;3, "picro-basalt","basanite")))</f>
        <v>basalt</v>
      </c>
      <c r="D35" s="5" t="str">
        <f>IF(R35=0,"H2O",IF(Q35&lt;0.4,"CO2","none"))</f>
        <v>H2O</v>
      </c>
      <c r="E35">
        <v>1095</v>
      </c>
      <c r="F35">
        <v>800</v>
      </c>
      <c r="G35" s="6">
        <v>47.16</v>
      </c>
      <c r="H35" s="6">
        <v>1.55</v>
      </c>
      <c r="I35" s="6">
        <v>15.09</v>
      </c>
      <c r="J35" s="6">
        <v>10.3</v>
      </c>
      <c r="K35" s="6"/>
      <c r="L35" s="6">
        <v>6.35</v>
      </c>
      <c r="M35" s="6">
        <v>12.45</v>
      </c>
      <c r="N35" s="6">
        <v>2.52</v>
      </c>
      <c r="O35" s="6">
        <v>1.1100000000000001</v>
      </c>
      <c r="P35" s="6">
        <v>0.31</v>
      </c>
      <c r="Q35" s="6">
        <v>3.1</v>
      </c>
      <c r="R35" s="7"/>
    </row>
    <row r="36" spans="1:18" x14ac:dyDescent="0.2">
      <c r="A36" s="4" t="s">
        <v>39</v>
      </c>
      <c r="B36" s="4" t="s">
        <v>39</v>
      </c>
      <c r="C36" s="5" t="str">
        <f>IF(G36&gt;45, IF(G36&lt;52, IF((N36+O36)&lt;5,"basalt","alkali basalt")),IF(G36&lt;57,IF((N36+O36)&lt;6,"basaltic andesite","alkali intermediate"), IF((N36+O36)&lt;3, "picro-basalt","basanite")))</f>
        <v>basalt</v>
      </c>
      <c r="D36" s="5" t="str">
        <f>IF(R36=0,"H2O",IF(Q36&lt;0.4,"CO2","none"))</f>
        <v>H2O</v>
      </c>
      <c r="E36">
        <v>1062</v>
      </c>
      <c r="F36">
        <v>800</v>
      </c>
      <c r="G36" s="6">
        <v>47.64</v>
      </c>
      <c r="H36" s="6">
        <v>1.64</v>
      </c>
      <c r="I36" s="6">
        <v>16.829999999999998</v>
      </c>
      <c r="J36" s="6">
        <v>10.38</v>
      </c>
      <c r="K36" s="6"/>
      <c r="L36" s="6">
        <v>5.09</v>
      </c>
      <c r="M36" s="6">
        <v>10.8</v>
      </c>
      <c r="N36" s="6">
        <v>2.89</v>
      </c>
      <c r="O36" s="6">
        <v>1.44</v>
      </c>
      <c r="P36" s="6">
        <v>0.4</v>
      </c>
      <c r="Q36" s="6">
        <v>2.8</v>
      </c>
      <c r="R36" s="7"/>
    </row>
    <row r="37" spans="1:18" x14ac:dyDescent="0.2">
      <c r="A37" s="4" t="s">
        <v>39</v>
      </c>
      <c r="B37" s="4" t="s">
        <v>39</v>
      </c>
      <c r="C37" s="5" t="str">
        <f>IF(G37&gt;45, IF(G37&lt;52, IF((N37+O37)&lt;5,"basalt","alkali basalt")),IF(G37&lt;57,IF((N37+O37)&lt;6,"basaltic andesite","alkali intermediate"), IF((N37+O37)&lt;3, "picro-basalt","basanite")))</f>
        <v>basalt</v>
      </c>
      <c r="D37" s="5" t="str">
        <f>IF(R37=0,"H2O",IF(Q37&lt;0.4,"CO2","none"))</f>
        <v>H2O</v>
      </c>
      <c r="E37">
        <v>1045</v>
      </c>
      <c r="F37">
        <v>800</v>
      </c>
      <c r="G37" s="6">
        <v>47.65</v>
      </c>
      <c r="H37" s="6">
        <v>1.72</v>
      </c>
      <c r="I37" s="6">
        <v>17.3</v>
      </c>
      <c r="J37" s="6">
        <v>10.33</v>
      </c>
      <c r="K37" s="6"/>
      <c r="L37" s="6">
        <v>4.57</v>
      </c>
      <c r="M37" s="6">
        <v>10.52</v>
      </c>
      <c r="N37" s="6">
        <v>2.88</v>
      </c>
      <c r="O37" s="6">
        <v>1.38</v>
      </c>
      <c r="P37" s="6">
        <v>0.36</v>
      </c>
      <c r="Q37" s="6">
        <v>3.1</v>
      </c>
      <c r="R37" s="7"/>
    </row>
    <row r="38" spans="1:18" x14ac:dyDescent="0.2">
      <c r="A38" s="4" t="s">
        <v>39</v>
      </c>
      <c r="B38" s="4" t="s">
        <v>39</v>
      </c>
      <c r="C38" s="5" t="str">
        <f>IF(G38&gt;45, IF(G38&lt;52, IF((N38+O38)&lt;5,"basalt","alkali basalt")),IF(G38&lt;57,IF((N38+O38)&lt;6,"basaltic andesite","alkali intermediate"), IF((N38+O38)&lt;3, "picro-basalt","basanite")))</f>
        <v>basalt</v>
      </c>
      <c r="D38" s="5" t="str">
        <f>IF(R38=0,"H2O",IF(Q38&lt;0.4,"CO2","none"))</f>
        <v>H2O</v>
      </c>
      <c r="E38">
        <v>1110</v>
      </c>
      <c r="F38">
        <v>800</v>
      </c>
      <c r="G38" s="6">
        <v>47.73</v>
      </c>
      <c r="H38" s="6">
        <v>1.52</v>
      </c>
      <c r="I38" s="6">
        <v>14.93</v>
      </c>
      <c r="J38" s="6">
        <v>10.18</v>
      </c>
      <c r="K38" s="6"/>
      <c r="L38" s="6">
        <v>7.02</v>
      </c>
      <c r="M38" s="6">
        <v>12.28</v>
      </c>
      <c r="N38" s="6">
        <v>2.61</v>
      </c>
      <c r="O38" s="6">
        <v>1.17</v>
      </c>
      <c r="P38" s="6">
        <v>0.33</v>
      </c>
      <c r="Q38" s="6">
        <v>2.5</v>
      </c>
      <c r="R38" s="7"/>
    </row>
    <row r="39" spans="1:18" x14ac:dyDescent="0.2">
      <c r="A39" s="4" t="s">
        <v>39</v>
      </c>
      <c r="B39" s="4" t="s">
        <v>39</v>
      </c>
      <c r="C39" s="5" t="str">
        <f>IF(G39&gt;45, IF(G39&lt;52, IF((N39+O39)&lt;5,"basalt","alkali basalt")),IF(G39&lt;57,IF((N39+O39)&lt;6,"basaltic andesite","alkali intermediate"), IF((N39+O39)&lt;3, "picro-basalt","basanite")))</f>
        <v>basalt</v>
      </c>
      <c r="D39" s="5" t="str">
        <f>IF(R39=0,"H2O",IF(Q39&lt;0.4,"CO2","none"))</f>
        <v>H2O</v>
      </c>
      <c r="E39">
        <v>1090</v>
      </c>
      <c r="F39">
        <v>800</v>
      </c>
      <c r="G39" s="6">
        <v>47.82</v>
      </c>
      <c r="H39" s="6">
        <v>1.49</v>
      </c>
      <c r="I39" s="6">
        <v>15</v>
      </c>
      <c r="J39" s="6">
        <v>10.08</v>
      </c>
      <c r="K39" s="6"/>
      <c r="L39" s="6">
        <v>6.46</v>
      </c>
      <c r="M39" s="6">
        <v>12.18</v>
      </c>
      <c r="N39" s="6">
        <v>2.62</v>
      </c>
      <c r="O39" s="6">
        <v>1.21</v>
      </c>
      <c r="P39" s="6">
        <v>0.32</v>
      </c>
      <c r="Q39" s="6">
        <v>3.1</v>
      </c>
      <c r="R39" s="7"/>
    </row>
    <row r="40" spans="1:18" x14ac:dyDescent="0.2">
      <c r="A40" t="s">
        <v>40</v>
      </c>
      <c r="B40" t="s">
        <v>40</v>
      </c>
      <c r="C40" s="5" t="str">
        <f>IF(G40&gt;45, IF(G40&lt;52, IF((N40+O40)&lt;5,"basalt","alkali basalt")),IF(G40&lt;57,IF((N40+O40)&lt;6,"basaltic andesite","alkali intermediate"), IF((N40+O40)&lt;3, "picro-basalt","basanite")))</f>
        <v>basalt</v>
      </c>
      <c r="D40" s="5" t="str">
        <f>IF(R40=0,"H2O",IF(Q40&lt;0.4,"CO2","none"))</f>
        <v>H2O</v>
      </c>
      <c r="E40">
        <v>1200</v>
      </c>
      <c r="F40">
        <v>717</v>
      </c>
      <c r="G40" s="6">
        <v>50.8</v>
      </c>
      <c r="H40" s="6">
        <v>1.84</v>
      </c>
      <c r="I40" s="6">
        <v>13.7</v>
      </c>
      <c r="J40" s="6">
        <v>12.4</v>
      </c>
      <c r="K40" s="6"/>
      <c r="L40" s="6">
        <v>6.67</v>
      </c>
      <c r="M40" s="6">
        <v>11.5</v>
      </c>
      <c r="N40" s="6">
        <v>2.68</v>
      </c>
      <c r="O40" s="6">
        <v>0.15</v>
      </c>
      <c r="P40" s="6">
        <v>0.19</v>
      </c>
      <c r="Q40" s="6">
        <v>2.4900000000000002</v>
      </c>
      <c r="R40" s="7"/>
    </row>
    <row r="41" spans="1:18" x14ac:dyDescent="0.2">
      <c r="A41" s="4" t="s">
        <v>40</v>
      </c>
      <c r="B41" s="4" t="s">
        <v>40</v>
      </c>
      <c r="C41" s="5" t="str">
        <f>IF(G41&gt;45, IF(G41&lt;52, IF((N41+O41)&lt;5,"basalt","alkali basalt")),IF(G41&lt;57,IF((N41+O41)&lt;6,"basaltic andesite","alkali intermediate"), IF((N41+O41)&lt;3, "picro-basalt","basanite")))</f>
        <v>basalt</v>
      </c>
      <c r="D41" s="5" t="str">
        <f>IF(R41=0,"H2O",IF(Q41&lt;0.4,"CO2","none"))</f>
        <v>H2O</v>
      </c>
      <c r="E41">
        <v>1200</v>
      </c>
      <c r="F41">
        <v>717</v>
      </c>
      <c r="G41" s="6">
        <v>50.8</v>
      </c>
      <c r="H41" s="6">
        <v>1.84</v>
      </c>
      <c r="I41" s="6">
        <v>13.7</v>
      </c>
      <c r="J41" s="6">
        <v>12.4</v>
      </c>
      <c r="K41" s="6"/>
      <c r="L41" s="6">
        <v>6.67</v>
      </c>
      <c r="M41" s="6">
        <v>11.5</v>
      </c>
      <c r="N41" s="6">
        <v>2.68</v>
      </c>
      <c r="O41" s="6">
        <v>0.15</v>
      </c>
      <c r="P41" s="6">
        <v>0.19</v>
      </c>
      <c r="Q41" s="6">
        <v>2.4900000000000002</v>
      </c>
      <c r="R41" s="7"/>
    </row>
    <row r="42" spans="1:18" x14ac:dyDescent="0.2">
      <c r="A42" t="s">
        <v>41</v>
      </c>
      <c r="B42" t="s">
        <v>42</v>
      </c>
      <c r="C42" s="5" t="str">
        <f>IF(G42&gt;45, IF(G42&lt;52, IF((N42+O42)&lt;5,"basalt","alkali basalt")),IF(G42&lt;57,IF((N42+O42)&lt;6,"basaltic andesite","alkali intermediate"), IF((N42+O42)&lt;3, "picro-basalt","basanite")))</f>
        <v>basalt</v>
      </c>
      <c r="D42" s="5" t="str">
        <f>IF(R42=0,"H2O",IF(Q42&lt;0.4,"CO2","none"))</f>
        <v>H2O</v>
      </c>
      <c r="E42">
        <v>1200</v>
      </c>
      <c r="F42">
        <v>717</v>
      </c>
      <c r="G42" s="6">
        <v>50.8</v>
      </c>
      <c r="H42" s="6">
        <v>1.84</v>
      </c>
      <c r="I42" s="6">
        <v>13.7</v>
      </c>
      <c r="J42" s="6">
        <v>12.4</v>
      </c>
      <c r="K42" s="6">
        <v>0.22</v>
      </c>
      <c r="L42" s="6">
        <v>6.67</v>
      </c>
      <c r="M42" s="6">
        <v>11.5</v>
      </c>
      <c r="N42" s="6">
        <v>2.68</v>
      </c>
      <c r="O42" s="6">
        <v>0.15</v>
      </c>
      <c r="P42" s="6">
        <v>0.19</v>
      </c>
      <c r="Q42" s="6">
        <v>2.56</v>
      </c>
      <c r="R42" s="7"/>
    </row>
    <row r="43" spans="1:18" x14ac:dyDescent="0.2">
      <c r="A43" s="4" t="s">
        <v>39</v>
      </c>
      <c r="B43" s="4" t="s">
        <v>39</v>
      </c>
      <c r="C43" s="5" t="str">
        <f>IF(G43&gt;45, IF(G43&lt;52, IF((N43+O43)&lt;5,"basalt","alkali basalt")),IF(G43&lt;57,IF((N43+O43)&lt;6,"basaltic andesite","alkali intermediate"), IF((N43+O43)&lt;3, "picro-basalt","basanite")))</f>
        <v>basalt</v>
      </c>
      <c r="D43" s="5" t="str">
        <f>IF(R43=0,"H2O",IF(Q43&lt;0.4,"CO2","none"))</f>
        <v>H2O</v>
      </c>
      <c r="E43">
        <v>1135</v>
      </c>
      <c r="F43">
        <v>710</v>
      </c>
      <c r="G43" s="6">
        <v>47.47</v>
      </c>
      <c r="H43" s="6">
        <v>1.58</v>
      </c>
      <c r="I43" s="6">
        <v>14.92</v>
      </c>
      <c r="J43" s="6">
        <v>10.09</v>
      </c>
      <c r="K43" s="6"/>
      <c r="L43" s="6">
        <v>7.4</v>
      </c>
      <c r="M43" s="6">
        <v>12.24</v>
      </c>
      <c r="N43" s="6">
        <v>2.54</v>
      </c>
      <c r="O43" s="6">
        <v>1.26</v>
      </c>
      <c r="P43" s="6">
        <v>0.37</v>
      </c>
      <c r="Q43" s="6">
        <v>2.6</v>
      </c>
      <c r="R43" s="7"/>
    </row>
    <row r="44" spans="1:18" x14ac:dyDescent="0.2">
      <c r="A44" s="4" t="s">
        <v>39</v>
      </c>
      <c r="B44" s="4" t="s">
        <v>39</v>
      </c>
      <c r="C44" s="5" t="str">
        <f>IF(G44&gt;45, IF(G44&lt;52, IF((N44+O44)&lt;5,"basalt","alkali basalt")),IF(G44&lt;57,IF((N44+O44)&lt;6,"basaltic andesite","alkali intermediate"), IF((N44+O44)&lt;3, "picro-basalt","basanite")))</f>
        <v>basalt</v>
      </c>
      <c r="D44" s="5" t="str">
        <f>IF(R44=0,"H2O",IF(Q44&lt;0.4,"CO2","none"))</f>
        <v>H2O</v>
      </c>
      <c r="E44">
        <v>1120</v>
      </c>
      <c r="F44">
        <v>695</v>
      </c>
      <c r="G44" s="6">
        <v>47.98</v>
      </c>
      <c r="H44" s="6">
        <v>1.55</v>
      </c>
      <c r="I44" s="6">
        <v>14.93</v>
      </c>
      <c r="J44" s="6">
        <v>10.23</v>
      </c>
      <c r="K44" s="6"/>
      <c r="L44" s="6">
        <v>7.21</v>
      </c>
      <c r="M44" s="6">
        <v>12.33</v>
      </c>
      <c r="N44" s="6">
        <v>2.56</v>
      </c>
      <c r="O44" s="6">
        <v>1.26</v>
      </c>
      <c r="P44" s="6">
        <v>0.38</v>
      </c>
      <c r="Q44" s="6">
        <v>2.5</v>
      </c>
      <c r="R44" s="7"/>
    </row>
    <row r="45" spans="1:18" x14ac:dyDescent="0.2">
      <c r="A45" s="4" t="s">
        <v>21</v>
      </c>
      <c r="B45" s="4" t="s">
        <v>21</v>
      </c>
      <c r="C45" s="5" t="str">
        <f>IF(G45&gt;45, IF(G45&lt;52, IF((N45+O45)&lt;5,"basalt","alkali basalt")),IF(G45&lt;57,IF((N45+O45)&lt;6,"basaltic andesite","alkali intermediate"), IF((N45+O45)&lt;3, "picro-basalt","basanite")))</f>
        <v>basalt</v>
      </c>
      <c r="D45" s="5" t="str">
        <f>IF(R45=0,"H2O",IF(Q45&lt;0.4,"CO2","none"))</f>
        <v>H2O</v>
      </c>
      <c r="E45">
        <v>1200</v>
      </c>
      <c r="F45">
        <v>554</v>
      </c>
      <c r="G45" s="6">
        <v>49.64</v>
      </c>
      <c r="H45" s="6">
        <v>0.87</v>
      </c>
      <c r="I45" s="6">
        <v>16.07</v>
      </c>
      <c r="J45" s="6">
        <v>8.6300000000000008</v>
      </c>
      <c r="K45" s="6"/>
      <c r="L45" s="6"/>
      <c r="M45" s="6">
        <v>12.44</v>
      </c>
      <c r="N45" s="6">
        <v>2.2799999999999998</v>
      </c>
      <c r="O45" s="6">
        <v>0.08</v>
      </c>
      <c r="P45" s="6">
        <v>0.08</v>
      </c>
      <c r="Q45" s="6">
        <v>2.23</v>
      </c>
      <c r="R45" s="7"/>
    </row>
    <row r="46" spans="1:18" x14ac:dyDescent="0.2">
      <c r="A46" s="4" t="s">
        <v>21</v>
      </c>
      <c r="B46" s="4" t="s">
        <v>21</v>
      </c>
      <c r="C46" s="5" t="str">
        <f>IF(G46&gt;45, IF(G46&lt;52, IF((N46+O46)&lt;5,"basalt","alkali basalt")),IF(G46&lt;57,IF((N46+O46)&lt;6,"basaltic andesite","alkali intermediate"), IF((N46+O46)&lt;3, "picro-basalt","basanite")))</f>
        <v>basalt</v>
      </c>
      <c r="D46" s="5" t="str">
        <f>IF(R46=0,"H2O",IF(Q46&lt;0.4,"CO2","none"))</f>
        <v>H2O</v>
      </c>
      <c r="E46">
        <v>1200</v>
      </c>
      <c r="F46">
        <v>554</v>
      </c>
      <c r="G46" s="6">
        <v>49.64</v>
      </c>
      <c r="H46" s="6">
        <v>0.87</v>
      </c>
      <c r="I46" s="6">
        <v>16.07</v>
      </c>
      <c r="J46" s="6">
        <v>8.6300000000000008</v>
      </c>
      <c r="K46" s="6"/>
      <c r="L46" s="6"/>
      <c r="M46" s="6">
        <v>12.44</v>
      </c>
      <c r="N46" s="6">
        <v>2.2799999999999998</v>
      </c>
      <c r="O46" s="6">
        <v>0.08</v>
      </c>
      <c r="P46" s="6">
        <v>0.08</v>
      </c>
      <c r="Q46" s="6">
        <v>2.14</v>
      </c>
      <c r="R46" s="7"/>
    </row>
    <row r="47" spans="1:18" x14ac:dyDescent="0.2">
      <c r="A47" s="4" t="s">
        <v>21</v>
      </c>
      <c r="B47" s="4" t="s">
        <v>21</v>
      </c>
      <c r="C47" s="5" t="str">
        <f>IF(G47&gt;45, IF(G47&lt;52, IF((N47+O47)&lt;5,"basalt","alkali basalt")),IF(G47&lt;57,IF((N47+O47)&lt;6,"basaltic andesite","alkali intermediate"), IF((N47+O47)&lt;3, "picro-basalt","basanite")))</f>
        <v>basalt</v>
      </c>
      <c r="D47" s="5" t="str">
        <f>IF(R47=0,"H2O",IF(Q47&lt;0.4,"CO2","none"))</f>
        <v>H2O</v>
      </c>
      <c r="E47">
        <v>1200</v>
      </c>
      <c r="F47">
        <v>532</v>
      </c>
      <c r="G47" s="6">
        <v>49.64</v>
      </c>
      <c r="H47" s="6">
        <v>0.87</v>
      </c>
      <c r="I47" s="6">
        <v>16.07</v>
      </c>
      <c r="J47" s="6">
        <v>8.6300000000000008</v>
      </c>
      <c r="K47" s="6"/>
      <c r="L47" s="6"/>
      <c r="M47" s="6">
        <v>12.44</v>
      </c>
      <c r="N47" s="6">
        <v>2.2799999999999998</v>
      </c>
      <c r="O47" s="6">
        <v>0.08</v>
      </c>
      <c r="P47" s="6">
        <v>0.08</v>
      </c>
      <c r="Q47" s="6">
        <v>2.23</v>
      </c>
      <c r="R47" s="7"/>
    </row>
    <row r="48" spans="1:18" x14ac:dyDescent="0.2">
      <c r="A48">
        <v>25</v>
      </c>
      <c r="B48" t="s">
        <v>22</v>
      </c>
      <c r="C48" s="5" t="str">
        <f>IF(G48&gt;45, IF(G48&lt;52, IF((N48+O48)&lt;5,"basalt","alkali basalt")),IF(G48&lt;57,IF((N48+O48)&lt;6,"basaltic andesite","alkali intermediate"), IF((N48+O48)&lt;3, "picro-basalt","basanite")))</f>
        <v>basalt</v>
      </c>
      <c r="D48" s="5" t="str">
        <f>IF(R48=0,"H2O",IF(Q48&lt;0.4,"CO2","none"))</f>
        <v>H2O</v>
      </c>
      <c r="E48">
        <v>1200</v>
      </c>
      <c r="F48">
        <v>532</v>
      </c>
      <c r="G48" s="6">
        <v>49.64</v>
      </c>
      <c r="H48" s="6">
        <v>0.87</v>
      </c>
      <c r="I48" s="6">
        <v>16.07</v>
      </c>
      <c r="J48" s="6">
        <v>8.6300000000000008</v>
      </c>
      <c r="K48" s="6">
        <v>0.15</v>
      </c>
      <c r="L48" s="6">
        <v>9.76</v>
      </c>
      <c r="M48" s="6">
        <v>12.44</v>
      </c>
      <c r="N48" s="6">
        <v>2.2799999999999998</v>
      </c>
      <c r="O48" s="6">
        <v>0.08</v>
      </c>
      <c r="P48" s="6">
        <v>0.08</v>
      </c>
      <c r="Q48" s="6">
        <v>2.23</v>
      </c>
      <c r="R48" s="7"/>
    </row>
    <row r="49" spans="1:18" x14ac:dyDescent="0.2">
      <c r="A49" s="4" t="s">
        <v>31</v>
      </c>
      <c r="B49" s="4" t="s">
        <v>31</v>
      </c>
      <c r="C49" s="5" t="str">
        <f>IF(G49&gt;45, IF(G49&lt;52, IF((N49+O49)&lt;5,"basalt","alkali basalt")),IF(G49&lt;57,IF((N49+O49)&lt;6,"basaltic andesite","alkali intermediate"), IF((N49+O49)&lt;3, "picro-basalt","basanite")))</f>
        <v>basalt</v>
      </c>
      <c r="D49" s="5" t="str">
        <f>IF(R49=0,"H2O",IF(Q49&lt;0.4,"CO2","none"))</f>
        <v>H2O</v>
      </c>
      <c r="E49">
        <v>1200</v>
      </c>
      <c r="F49">
        <v>524</v>
      </c>
      <c r="G49" s="6">
        <v>49.4</v>
      </c>
      <c r="H49" s="6">
        <v>0.8</v>
      </c>
      <c r="I49" s="6">
        <v>15.8</v>
      </c>
      <c r="J49" s="6">
        <v>7.64</v>
      </c>
      <c r="K49" s="6"/>
      <c r="L49" s="6">
        <v>8</v>
      </c>
      <c r="M49" s="6">
        <v>12.7</v>
      </c>
      <c r="N49" s="6">
        <v>2.2999999999999998</v>
      </c>
      <c r="O49" s="6">
        <v>1.9</v>
      </c>
      <c r="P49" s="6">
        <v>0.4</v>
      </c>
      <c r="Q49" s="6">
        <v>2.21</v>
      </c>
      <c r="R49" s="7"/>
    </row>
    <row r="50" spans="1:18" x14ac:dyDescent="0.2">
      <c r="A50" t="s">
        <v>34</v>
      </c>
      <c r="B50" t="s">
        <v>35</v>
      </c>
      <c r="C50" s="5" t="str">
        <f>IF(G50&gt;45, IF(G50&lt;52, IF((N50+O50)&lt;5,"basalt","alkali basalt")),IF(G50&lt;57,IF((N50+O50)&lt;6,"basaltic andesite","alkali intermediate"), IF((N50+O50)&lt;3, "picro-basalt","basanite")))</f>
        <v>basalt</v>
      </c>
      <c r="D50" s="5" t="str">
        <f>IF(R50=0,"H2O",IF(Q50&lt;0.4,"CO2","none"))</f>
        <v>H2O</v>
      </c>
      <c r="E50">
        <v>1200</v>
      </c>
      <c r="F50">
        <v>524</v>
      </c>
      <c r="G50" s="6">
        <v>49.828525317732499</v>
      </c>
      <c r="H50" s="6">
        <v>0.80693968125882587</v>
      </c>
      <c r="I50" s="6">
        <v>15.937058704861812</v>
      </c>
      <c r="J50" s="6">
        <v>7.7062739560217874</v>
      </c>
      <c r="K50" s="6">
        <v>0.20173492031470647</v>
      </c>
      <c r="L50" s="6">
        <v>8.0693968125882591</v>
      </c>
      <c r="M50" s="6">
        <v>12.810167439983861</v>
      </c>
      <c r="N50" s="6">
        <v>2.3199515836191242</v>
      </c>
      <c r="O50" s="6">
        <v>1.9164817429897114</v>
      </c>
      <c r="P50" s="6">
        <v>0.40346984062941293</v>
      </c>
      <c r="Q50" s="6">
        <v>2.21</v>
      </c>
      <c r="R50" s="7"/>
    </row>
    <row r="51" spans="1:18" x14ac:dyDescent="0.2">
      <c r="A51" t="s">
        <v>40</v>
      </c>
      <c r="B51" t="s">
        <v>40</v>
      </c>
      <c r="C51" s="5" t="str">
        <f>IF(G51&gt;45, IF(G51&lt;52, IF((N51+O51)&lt;5,"basalt","alkali basalt")),IF(G51&lt;57,IF((N51+O51)&lt;6,"basaltic andesite","alkali intermediate"), IF((N51+O51)&lt;3, "picro-basalt","basanite")))</f>
        <v>basalt</v>
      </c>
      <c r="D51" s="5" t="str">
        <f>IF(R51=0,"H2O",IF(Q51&lt;0.4,"CO2","none"))</f>
        <v>H2O</v>
      </c>
      <c r="E51">
        <v>1200</v>
      </c>
      <c r="F51">
        <v>507</v>
      </c>
      <c r="G51" s="6">
        <v>50.8</v>
      </c>
      <c r="H51" s="6">
        <v>1.84</v>
      </c>
      <c r="I51" s="6">
        <v>13.7</v>
      </c>
      <c r="J51" s="6">
        <v>12.4</v>
      </c>
      <c r="K51" s="6"/>
      <c r="L51" s="6">
        <v>6.67</v>
      </c>
      <c r="M51" s="6">
        <v>11.5</v>
      </c>
      <c r="N51" s="6">
        <v>2.68</v>
      </c>
      <c r="O51" s="6">
        <v>0.15</v>
      </c>
      <c r="P51" s="6">
        <v>0.19</v>
      </c>
      <c r="Q51" s="6">
        <v>2.23</v>
      </c>
      <c r="R51" s="7"/>
    </row>
    <row r="52" spans="1:18" x14ac:dyDescent="0.2">
      <c r="A52" s="4" t="s">
        <v>40</v>
      </c>
      <c r="B52" s="4" t="s">
        <v>40</v>
      </c>
      <c r="C52" s="5" t="str">
        <f>IF(G52&gt;45, IF(G52&lt;52, IF((N52+O52)&lt;5,"basalt","alkali basalt")),IF(G52&lt;57,IF((N52+O52)&lt;6,"basaltic andesite","alkali intermediate"), IF((N52+O52)&lt;3, "picro-basalt","basanite")))</f>
        <v>basalt</v>
      </c>
      <c r="D52" s="5" t="str">
        <f>IF(R52=0,"H2O",IF(Q52&lt;0.4,"CO2","none"))</f>
        <v>H2O</v>
      </c>
      <c r="E52">
        <v>1200</v>
      </c>
      <c r="F52">
        <v>507</v>
      </c>
      <c r="G52" s="6">
        <v>50.8</v>
      </c>
      <c r="H52" s="6">
        <v>1.84</v>
      </c>
      <c r="I52" s="6">
        <v>13.7</v>
      </c>
      <c r="J52" s="6">
        <v>12.4</v>
      </c>
      <c r="K52" s="6"/>
      <c r="L52" s="6">
        <v>6.67</v>
      </c>
      <c r="M52" s="6">
        <v>11.5</v>
      </c>
      <c r="N52" s="6">
        <v>2.68</v>
      </c>
      <c r="O52" s="6">
        <v>0.15</v>
      </c>
      <c r="P52" s="6">
        <v>0.19</v>
      </c>
      <c r="Q52" s="6">
        <v>2.23</v>
      </c>
      <c r="R52" s="7"/>
    </row>
    <row r="53" spans="1:18" x14ac:dyDescent="0.2">
      <c r="A53" t="s">
        <v>43</v>
      </c>
      <c r="B53" t="s">
        <v>42</v>
      </c>
      <c r="C53" s="5" t="str">
        <f>IF(G53&gt;45, IF(G53&lt;52, IF((N53+O53)&lt;5,"basalt","alkali basalt")),IF(G53&lt;57,IF((N53+O53)&lt;6,"basaltic andesite","alkali intermediate"), IF((N53+O53)&lt;3, "picro-basalt","basanite")))</f>
        <v>basalt</v>
      </c>
      <c r="D53" s="5" t="str">
        <f>IF(R53=0,"H2O",IF(Q53&lt;0.4,"CO2","none"))</f>
        <v>H2O</v>
      </c>
      <c r="E53">
        <v>1200</v>
      </c>
      <c r="F53">
        <v>507</v>
      </c>
      <c r="G53" s="6">
        <v>50.8</v>
      </c>
      <c r="H53" s="6">
        <v>1.84</v>
      </c>
      <c r="I53" s="6">
        <v>13.7</v>
      </c>
      <c r="J53" s="6">
        <v>12.4</v>
      </c>
      <c r="K53" s="6">
        <v>0.22</v>
      </c>
      <c r="L53" s="6">
        <v>6.67</v>
      </c>
      <c r="M53" s="6">
        <v>11.5</v>
      </c>
      <c r="N53" s="6">
        <v>2.68</v>
      </c>
      <c r="O53" s="6">
        <v>0.15</v>
      </c>
      <c r="P53" s="6">
        <v>0.19</v>
      </c>
      <c r="Q53" s="6">
        <v>2.42</v>
      </c>
      <c r="R53" s="7"/>
    </row>
    <row r="54" spans="1:18" x14ac:dyDescent="0.2">
      <c r="A54" s="4" t="s">
        <v>21</v>
      </c>
      <c r="B54" s="4" t="s">
        <v>21</v>
      </c>
      <c r="C54" s="5" t="str">
        <f>IF(G54&gt;45, IF(G54&lt;52, IF((N54+O54)&lt;5,"basalt","alkali basalt")),IF(G54&lt;57,IF((N54+O54)&lt;6,"basaltic andesite","alkali intermediate"), IF((N54+O54)&lt;3, "picro-basalt","basanite")))</f>
        <v>basalt</v>
      </c>
      <c r="D54" s="5" t="str">
        <f>IF(R54=0,"H2O",IF(Q54&lt;0.4,"CO2","none"))</f>
        <v>H2O</v>
      </c>
      <c r="E54">
        <v>1200</v>
      </c>
      <c r="F54">
        <v>505</v>
      </c>
      <c r="G54" s="6">
        <v>49.64</v>
      </c>
      <c r="H54" s="6">
        <v>0.87</v>
      </c>
      <c r="I54" s="6">
        <v>16.07</v>
      </c>
      <c r="J54" s="6">
        <v>8.6300000000000008</v>
      </c>
      <c r="K54" s="6"/>
      <c r="L54" s="6"/>
      <c r="M54" s="6">
        <v>12.44</v>
      </c>
      <c r="N54" s="6">
        <v>2.2799999999999998</v>
      </c>
      <c r="O54" s="6">
        <v>0.08</v>
      </c>
      <c r="P54" s="6">
        <v>0.08</v>
      </c>
      <c r="Q54" s="6">
        <v>2.2000000000000002</v>
      </c>
      <c r="R54" s="7"/>
    </row>
    <row r="55" spans="1:18" x14ac:dyDescent="0.2">
      <c r="A55" s="4" t="s">
        <v>21</v>
      </c>
      <c r="B55" s="4" t="s">
        <v>21</v>
      </c>
      <c r="C55" s="5" t="str">
        <f>IF(G55&gt;45, IF(G55&lt;52, IF((N55+O55)&lt;5,"basalt","alkali basalt")),IF(G55&lt;57,IF((N55+O55)&lt;6,"basaltic andesite","alkali intermediate"), IF((N55+O55)&lt;3, "picro-basalt","basanite")))</f>
        <v>basalt</v>
      </c>
      <c r="D55" s="5" t="str">
        <f>IF(R55=0,"H2O",IF(Q55&lt;0.4,"CO2","none"))</f>
        <v>H2O</v>
      </c>
      <c r="E55">
        <v>1200</v>
      </c>
      <c r="F55">
        <v>505</v>
      </c>
      <c r="G55" s="6">
        <v>49.64</v>
      </c>
      <c r="H55" s="6">
        <v>0.87</v>
      </c>
      <c r="I55" s="6">
        <v>16.07</v>
      </c>
      <c r="J55" s="6">
        <v>8.6300000000000008</v>
      </c>
      <c r="K55" s="6"/>
      <c r="L55" s="6"/>
      <c r="M55" s="6">
        <v>12.44</v>
      </c>
      <c r="N55" s="6">
        <v>2.2799999999999998</v>
      </c>
      <c r="O55" s="6">
        <v>0.08</v>
      </c>
      <c r="P55" s="6">
        <v>0.08</v>
      </c>
      <c r="Q55" s="6">
        <v>2.2799999999999998</v>
      </c>
      <c r="R55" s="7"/>
    </row>
    <row r="56" spans="1:18" x14ac:dyDescent="0.2">
      <c r="A56">
        <v>125</v>
      </c>
      <c r="B56" t="s">
        <v>22</v>
      </c>
      <c r="C56" s="5" t="str">
        <f>IF(G56&gt;45, IF(G56&lt;52, IF((N56+O56)&lt;5,"basalt","alkali basalt")),IF(G56&lt;57,IF((N56+O56)&lt;6,"basaltic andesite","alkali intermediate"), IF((N56+O56)&lt;3, "picro-basalt","basanite")))</f>
        <v>basalt</v>
      </c>
      <c r="D56" s="5" t="str">
        <f>IF(R56=0,"H2O",IF(Q56&lt;0.4,"CO2","none"))</f>
        <v>H2O</v>
      </c>
      <c r="E56">
        <v>1200</v>
      </c>
      <c r="F56">
        <v>505</v>
      </c>
      <c r="G56" s="6">
        <v>49.64</v>
      </c>
      <c r="H56" s="6">
        <v>0.87</v>
      </c>
      <c r="I56" s="6">
        <v>16.07</v>
      </c>
      <c r="J56" s="6">
        <v>8.6300000000000008</v>
      </c>
      <c r="K56" s="6">
        <v>0.15</v>
      </c>
      <c r="L56" s="6">
        <v>9.76</v>
      </c>
      <c r="M56" s="6">
        <v>12.44</v>
      </c>
      <c r="N56" s="6">
        <v>2.2799999999999998</v>
      </c>
      <c r="O56" s="6">
        <v>0.08</v>
      </c>
      <c r="P56" s="6">
        <v>0.08</v>
      </c>
      <c r="Q56" s="6">
        <v>2.2000000000000002</v>
      </c>
      <c r="R56" s="7"/>
    </row>
    <row r="57" spans="1:18" x14ac:dyDescent="0.2">
      <c r="A57" t="s">
        <v>28</v>
      </c>
      <c r="B57" t="s">
        <v>29</v>
      </c>
      <c r="C57" s="5" t="str">
        <f>IF(G57&gt;45, IF(G57&lt;52, IF((N57+O57)&lt;5,"basalt","alkali basalt")),IF(G57&lt;57,IF((N57+O57)&lt;6,"basaltic andesite","alkali intermediate"), IF((N57+O57)&lt;3, "picro-basalt","basanite")))</f>
        <v>basalt</v>
      </c>
      <c r="D57" s="5" t="str">
        <f>IF(R57=0,"H2O",IF(Q57&lt;0.4,"CO2","none"))</f>
        <v>H2O</v>
      </c>
      <c r="E57">
        <v>1250</v>
      </c>
      <c r="F57">
        <v>500</v>
      </c>
      <c r="G57" s="6">
        <v>50.175017501750176</v>
      </c>
      <c r="H57" s="6">
        <v>0.92009200920092016</v>
      </c>
      <c r="I57" s="6">
        <v>18.281828182818284</v>
      </c>
      <c r="J57" s="6">
        <v>9.3709370937093706</v>
      </c>
      <c r="K57" s="6">
        <v>0.17001700170017003</v>
      </c>
      <c r="L57" s="6">
        <v>7.0007000700070012</v>
      </c>
      <c r="M57" s="6">
        <v>11.371137113711372</v>
      </c>
      <c r="N57" s="6">
        <v>2.3302330233023305</v>
      </c>
      <c r="O57" s="6">
        <v>0.23002300230023004</v>
      </c>
      <c r="P57" s="6">
        <v>0.15001500150015001</v>
      </c>
      <c r="Q57" s="6">
        <v>2.2999999999999998</v>
      </c>
      <c r="R57" s="7"/>
    </row>
    <row r="58" spans="1:18" x14ac:dyDescent="0.2">
      <c r="A58" t="s">
        <v>44</v>
      </c>
      <c r="B58" t="s">
        <v>44</v>
      </c>
      <c r="C58" s="5" t="str">
        <f>IF(G58&gt;45, IF(G58&lt;52, IF((N58+O58)&lt;5,"basalt","alkali basalt")),IF(G58&lt;57,IF((N58+O58)&lt;6,"basaltic andesite","alkali intermediate"), IF((N58+O58)&lt;3, "picro-basalt","basanite")))</f>
        <v>basalt</v>
      </c>
      <c r="D58" s="5" t="str">
        <f>IF(R58=0,"H2O",IF(Q58&lt;0.4,"CO2","none"))</f>
        <v>H2O</v>
      </c>
      <c r="E58">
        <v>1200</v>
      </c>
      <c r="F58">
        <v>500</v>
      </c>
      <c r="G58" s="6">
        <v>50.72391412880679</v>
      </c>
      <c r="H58" s="6">
        <v>1.8372441337993008</v>
      </c>
      <c r="I58" s="6">
        <v>13.679480778831751</v>
      </c>
      <c r="J58" s="6">
        <v>12.38142785821268</v>
      </c>
      <c r="K58" s="6">
        <v>0.21967049425861207</v>
      </c>
      <c r="L58" s="6">
        <v>6.6600099850224659</v>
      </c>
      <c r="M58" s="6">
        <v>11.482775836245631</v>
      </c>
      <c r="N58" s="6">
        <v>2.6759860209685469</v>
      </c>
      <c r="O58" s="6">
        <v>0.14977533699450823</v>
      </c>
      <c r="P58" s="6">
        <v>0.18971542685971043</v>
      </c>
      <c r="Q58" s="6">
        <v>2.23</v>
      </c>
      <c r="R58" s="7"/>
    </row>
    <row r="59" spans="1:18" x14ac:dyDescent="0.2">
      <c r="A59" s="4" t="s">
        <v>39</v>
      </c>
      <c r="B59" s="4" t="s">
        <v>39</v>
      </c>
      <c r="C59" s="5" t="str">
        <f>IF(G59&gt;45, IF(G59&lt;52, IF((N59+O59)&lt;5,"basalt","alkali basalt")),IF(G59&lt;57,IF((N59+O59)&lt;6,"basaltic andesite","alkali intermediate"), IF((N59+O59)&lt;3, "picro-basalt","basanite")))</f>
        <v>basalt</v>
      </c>
      <c r="D59" s="5" t="str">
        <f>IF(R59=0,"H2O",IF(Q59&lt;0.4,"CO2","none"))</f>
        <v>H2O</v>
      </c>
      <c r="E59">
        <v>1085</v>
      </c>
      <c r="F59">
        <v>400</v>
      </c>
      <c r="G59" s="6">
        <v>48.28</v>
      </c>
      <c r="H59" s="6">
        <v>1.76</v>
      </c>
      <c r="I59" s="6">
        <v>16.38</v>
      </c>
      <c r="J59" s="6">
        <v>10.47</v>
      </c>
      <c r="K59" s="6"/>
      <c r="L59" s="6">
        <v>5.29</v>
      </c>
      <c r="M59" s="6">
        <v>10.86</v>
      </c>
      <c r="N59" s="6">
        <v>3.26</v>
      </c>
      <c r="O59" s="6">
        <v>1.58</v>
      </c>
      <c r="P59" s="6">
        <v>0.46</v>
      </c>
      <c r="Q59" s="6">
        <v>2.2000000000000002</v>
      </c>
      <c r="R59" s="7"/>
    </row>
    <row r="60" spans="1:18" x14ac:dyDescent="0.2">
      <c r="A60" t="s">
        <v>40</v>
      </c>
      <c r="B60" t="s">
        <v>40</v>
      </c>
      <c r="C60" s="5" t="str">
        <f>IF(G60&gt;45, IF(G60&lt;52, IF((N60+O60)&lt;5,"basalt","alkali basalt")),IF(G60&lt;57,IF((N60+O60)&lt;6,"basaltic andesite","alkali intermediate"), IF((N60+O60)&lt;3, "picro-basalt","basanite")))</f>
        <v>basalt</v>
      </c>
      <c r="D60" s="5" t="str">
        <f>IF(R60=0,"H2O",IF(Q60&lt;0.4,"CO2","none"))</f>
        <v>H2O</v>
      </c>
      <c r="E60">
        <v>1200</v>
      </c>
      <c r="F60">
        <v>310</v>
      </c>
      <c r="G60" s="6">
        <v>50.8</v>
      </c>
      <c r="H60" s="6">
        <v>1.84</v>
      </c>
      <c r="I60" s="6">
        <v>13.7</v>
      </c>
      <c r="J60" s="6">
        <v>12.4</v>
      </c>
      <c r="K60" s="6"/>
      <c r="L60" s="6">
        <v>6.67</v>
      </c>
      <c r="M60" s="6">
        <v>11.5</v>
      </c>
      <c r="N60" s="6">
        <v>2.68</v>
      </c>
      <c r="O60" s="6">
        <v>0.15</v>
      </c>
      <c r="P60" s="6">
        <v>0.19</v>
      </c>
      <c r="Q60" s="6">
        <v>1.71</v>
      </c>
      <c r="R60" s="7"/>
    </row>
    <row r="61" spans="1:18" x14ac:dyDescent="0.2">
      <c r="A61" s="4" t="s">
        <v>40</v>
      </c>
      <c r="B61" s="4" t="s">
        <v>40</v>
      </c>
      <c r="C61" s="5" t="str">
        <f>IF(G61&gt;45, IF(G61&lt;52, IF((N61+O61)&lt;5,"basalt","alkali basalt")),IF(G61&lt;57,IF((N61+O61)&lt;6,"basaltic andesite","alkali intermediate"), IF((N61+O61)&lt;3, "picro-basalt","basanite")))</f>
        <v>basalt</v>
      </c>
      <c r="D61" s="5" t="str">
        <f>IF(R61=0,"H2O",IF(Q61&lt;0.4,"CO2","none"))</f>
        <v>H2O</v>
      </c>
      <c r="E61">
        <v>1200</v>
      </c>
      <c r="F61">
        <v>310</v>
      </c>
      <c r="G61" s="6">
        <v>50.8</v>
      </c>
      <c r="H61" s="6">
        <v>1.84</v>
      </c>
      <c r="I61" s="6">
        <v>13.7</v>
      </c>
      <c r="J61" s="6">
        <v>12.4</v>
      </c>
      <c r="K61" s="6"/>
      <c r="L61" s="6">
        <v>6.67</v>
      </c>
      <c r="M61" s="6">
        <v>11.5</v>
      </c>
      <c r="N61" s="6">
        <v>2.68</v>
      </c>
      <c r="O61" s="6">
        <v>0.15</v>
      </c>
      <c r="P61" s="6">
        <v>0.19</v>
      </c>
      <c r="Q61" s="6">
        <v>1.71</v>
      </c>
      <c r="R61" s="7"/>
    </row>
    <row r="62" spans="1:18" x14ac:dyDescent="0.2">
      <c r="A62" t="s">
        <v>45</v>
      </c>
      <c r="B62" t="s">
        <v>42</v>
      </c>
      <c r="C62" s="5" t="str">
        <f>IF(G62&gt;45, IF(G62&lt;52, IF((N62+O62)&lt;5,"basalt","alkali basalt")),IF(G62&lt;57,IF((N62+O62)&lt;6,"basaltic andesite","alkali intermediate"), IF((N62+O62)&lt;3, "picro-basalt","basanite")))</f>
        <v>basalt</v>
      </c>
      <c r="D62" s="5" t="str">
        <f>IF(R62=0,"H2O",IF(Q62&lt;0.4,"CO2","none"))</f>
        <v>H2O</v>
      </c>
      <c r="E62">
        <v>1200</v>
      </c>
      <c r="F62">
        <v>310</v>
      </c>
      <c r="G62" s="6">
        <v>50.8</v>
      </c>
      <c r="H62" s="6">
        <v>1.84</v>
      </c>
      <c r="I62" s="6">
        <v>13.7</v>
      </c>
      <c r="J62" s="6">
        <v>12.4</v>
      </c>
      <c r="K62" s="6">
        <v>0.22</v>
      </c>
      <c r="L62" s="6">
        <v>6.67</v>
      </c>
      <c r="M62" s="6">
        <v>11.5</v>
      </c>
      <c r="N62" s="6">
        <v>2.68</v>
      </c>
      <c r="O62" s="6">
        <v>0.15</v>
      </c>
      <c r="P62" s="6">
        <v>0.19</v>
      </c>
      <c r="Q62" s="6">
        <v>1.74</v>
      </c>
      <c r="R62" s="7"/>
    </row>
    <row r="63" spans="1:18" x14ac:dyDescent="0.2">
      <c r="A63" t="s">
        <v>40</v>
      </c>
      <c r="B63" t="s">
        <v>40</v>
      </c>
      <c r="C63" s="5" t="str">
        <f>IF(G63&gt;45, IF(G63&lt;52, IF((N63+O63)&lt;5,"basalt","alkali basalt")),IF(G63&lt;57,IF((N63+O63)&lt;6,"basaltic andesite","alkali intermediate"), IF((N63+O63)&lt;3, "picro-basalt","basanite")))</f>
        <v>basalt</v>
      </c>
      <c r="D63" s="5" t="str">
        <f>IF(R63=0,"H2O",IF(Q63&lt;0.4,"CO2","none"))</f>
        <v>H2O</v>
      </c>
      <c r="E63">
        <v>1200</v>
      </c>
      <c r="F63">
        <v>300</v>
      </c>
      <c r="G63" s="6">
        <v>50.8</v>
      </c>
      <c r="H63" s="6">
        <v>1.84</v>
      </c>
      <c r="I63" s="6">
        <v>13.7</v>
      </c>
      <c r="J63" s="6">
        <v>12.4</v>
      </c>
      <c r="K63" s="6"/>
      <c r="L63" s="6">
        <v>6.67</v>
      </c>
      <c r="M63" s="6">
        <v>11.5</v>
      </c>
      <c r="N63" s="6">
        <v>2.68</v>
      </c>
      <c r="O63" s="6">
        <v>0.15</v>
      </c>
      <c r="P63" s="6">
        <v>0.19</v>
      </c>
      <c r="Q63" s="6">
        <v>1.74</v>
      </c>
      <c r="R63" s="7"/>
    </row>
    <row r="64" spans="1:18" x14ac:dyDescent="0.2">
      <c r="A64" s="4" t="s">
        <v>40</v>
      </c>
      <c r="B64" s="4" t="s">
        <v>40</v>
      </c>
      <c r="C64" s="5" t="str">
        <f>IF(G64&gt;45, IF(G64&lt;52, IF((N64+O64)&lt;5,"basalt","alkali basalt")),IF(G64&lt;57,IF((N64+O64)&lt;6,"basaltic andesite","alkali intermediate"), IF((N64+O64)&lt;3, "picro-basalt","basanite")))</f>
        <v>basalt</v>
      </c>
      <c r="D64" s="5" t="str">
        <f>IF(R64=0,"H2O",IF(Q64&lt;0.4,"CO2","none"))</f>
        <v>H2O</v>
      </c>
      <c r="E64">
        <v>1200</v>
      </c>
      <c r="F64">
        <v>300</v>
      </c>
      <c r="G64" s="6">
        <v>50.8</v>
      </c>
      <c r="H64" s="6">
        <v>1.84</v>
      </c>
      <c r="I64" s="6">
        <v>13.7</v>
      </c>
      <c r="J64" s="6">
        <v>12.4</v>
      </c>
      <c r="K64" s="6"/>
      <c r="L64" s="6">
        <v>6.67</v>
      </c>
      <c r="M64" s="6">
        <v>11.5</v>
      </c>
      <c r="N64" s="6">
        <v>2.68</v>
      </c>
      <c r="O64" s="6">
        <v>0.15</v>
      </c>
      <c r="P64" s="6">
        <v>0.19</v>
      </c>
      <c r="Q64" s="6">
        <v>1.74</v>
      </c>
      <c r="R64" s="7"/>
    </row>
    <row r="65" spans="1:18" x14ac:dyDescent="0.2">
      <c r="A65" s="4" t="s">
        <v>39</v>
      </c>
      <c r="B65" s="4" t="s">
        <v>39</v>
      </c>
      <c r="C65" s="5" t="str">
        <f>IF(G65&gt;45, IF(G65&lt;52, IF((N65+O65)&lt;5,"basalt","alkali basalt")),IF(G65&lt;57,IF((N65+O65)&lt;6,"basaltic andesite","alkali intermediate"), IF((N65+O65)&lt;3, "picro-basalt","basanite")))</f>
        <v>basalt</v>
      </c>
      <c r="D65" s="5" t="str">
        <f>IF(R65=0,"H2O",IF(Q65&lt;0.4,"CO2","none"))</f>
        <v>H2O</v>
      </c>
      <c r="E65">
        <v>1092</v>
      </c>
      <c r="F65">
        <v>270</v>
      </c>
      <c r="G65" s="6">
        <v>46.7</v>
      </c>
      <c r="H65" s="6">
        <v>1.62</v>
      </c>
      <c r="I65" s="6">
        <v>15.73</v>
      </c>
      <c r="J65" s="6">
        <v>11.78</v>
      </c>
      <c r="K65" s="6"/>
      <c r="L65" s="6">
        <v>6.03</v>
      </c>
      <c r="M65" s="6">
        <v>11.64</v>
      </c>
      <c r="N65" s="6">
        <v>2.85</v>
      </c>
      <c r="O65" s="6">
        <v>1.21</v>
      </c>
      <c r="P65" s="6">
        <v>0.23</v>
      </c>
      <c r="Q65" s="6">
        <v>1.3</v>
      </c>
      <c r="R65" s="7"/>
    </row>
    <row r="66" spans="1:18" x14ac:dyDescent="0.2">
      <c r="A66" s="4" t="s">
        <v>39</v>
      </c>
      <c r="B66" s="4" t="s">
        <v>39</v>
      </c>
      <c r="C66" s="5" t="str">
        <f>IF(G66&gt;45, IF(G66&lt;52, IF((N66+O66)&lt;5,"basalt","alkali basalt")),IF(G66&lt;57,IF((N66+O66)&lt;6,"basaltic andesite","alkali intermediate"), IF((N66+O66)&lt;3, "picro-basalt","basanite")))</f>
        <v>basalt</v>
      </c>
      <c r="D66" s="5" t="str">
        <f>IF(R66=0,"H2O",IF(Q66&lt;0.4,"CO2","none"))</f>
        <v>H2O</v>
      </c>
      <c r="E66">
        <v>1100</v>
      </c>
      <c r="F66">
        <v>270</v>
      </c>
      <c r="G66" s="6">
        <v>47.91</v>
      </c>
      <c r="H66" s="6">
        <v>1.56</v>
      </c>
      <c r="I66" s="6">
        <v>16</v>
      </c>
      <c r="J66" s="6">
        <v>11.24</v>
      </c>
      <c r="K66" s="6"/>
      <c r="L66" s="6">
        <v>6.09</v>
      </c>
      <c r="M66" s="6">
        <v>11.46</v>
      </c>
      <c r="N66" s="6">
        <v>2.93</v>
      </c>
      <c r="O66" s="6">
        <v>1.36</v>
      </c>
      <c r="P66" s="6">
        <v>0.36</v>
      </c>
      <c r="Q66" s="6">
        <v>1.6</v>
      </c>
      <c r="R66" s="7"/>
    </row>
    <row r="67" spans="1:18" x14ac:dyDescent="0.2">
      <c r="A67" s="4" t="s">
        <v>31</v>
      </c>
      <c r="B67" s="4" t="s">
        <v>31</v>
      </c>
      <c r="C67" s="5" t="str">
        <f>IF(G67&gt;45, IF(G67&lt;52, IF((N67+O67)&lt;5,"basalt","alkali basalt")),IF(G67&lt;57,IF((N67+O67)&lt;6,"basaltic andesite","alkali intermediate"), IF((N67+O67)&lt;3, "picro-basalt","basanite")))</f>
        <v>basalt</v>
      </c>
      <c r="D67" s="5" t="str">
        <f>IF(R67=0,"H2O",IF(Q67&lt;0.4,"CO2","none"))</f>
        <v>H2O</v>
      </c>
      <c r="E67">
        <v>1200</v>
      </c>
      <c r="F67">
        <v>232</v>
      </c>
      <c r="G67" s="6">
        <v>49.4</v>
      </c>
      <c r="H67" s="6">
        <v>0.8</v>
      </c>
      <c r="I67" s="6">
        <v>15.8</v>
      </c>
      <c r="J67" s="6">
        <v>7.64</v>
      </c>
      <c r="K67" s="6"/>
      <c r="L67" s="6">
        <v>8</v>
      </c>
      <c r="M67" s="6">
        <v>12.7</v>
      </c>
      <c r="N67" s="6">
        <v>2.2999999999999998</v>
      </c>
      <c r="O67" s="6">
        <v>1.9</v>
      </c>
      <c r="P67" s="6">
        <v>0.4</v>
      </c>
      <c r="Q67" s="6">
        <v>1.53</v>
      </c>
      <c r="R67" s="7"/>
    </row>
    <row r="68" spans="1:18" x14ac:dyDescent="0.2">
      <c r="A68" t="s">
        <v>40</v>
      </c>
      <c r="B68" t="s">
        <v>40</v>
      </c>
      <c r="C68" s="5" t="str">
        <f>IF(G68&gt;45, IF(G68&lt;52, IF((N68+O68)&lt;5,"basalt","alkali basalt")),IF(G68&lt;57,IF((N68+O68)&lt;6,"basaltic andesite","alkali intermediate"), IF((N68+O68)&lt;3, "picro-basalt","basanite")))</f>
        <v>basalt</v>
      </c>
      <c r="D68" s="5" t="str">
        <f>IF(R68=0,"H2O",IF(Q68&lt;0.4,"CO2","none"))</f>
        <v>H2O</v>
      </c>
      <c r="E68">
        <v>1200</v>
      </c>
      <c r="F68">
        <v>206</v>
      </c>
      <c r="G68" s="6">
        <v>50.8</v>
      </c>
      <c r="H68" s="6">
        <v>1.84</v>
      </c>
      <c r="I68" s="6">
        <v>13.7</v>
      </c>
      <c r="J68" s="6">
        <v>12.4</v>
      </c>
      <c r="K68" s="6"/>
      <c r="L68" s="6">
        <v>6.67</v>
      </c>
      <c r="M68" s="6">
        <v>11.5</v>
      </c>
      <c r="N68" s="6">
        <v>2.68</v>
      </c>
      <c r="O68" s="6">
        <v>0.15</v>
      </c>
      <c r="P68" s="6">
        <v>0.19</v>
      </c>
      <c r="Q68" s="6">
        <v>1.28</v>
      </c>
      <c r="R68" s="7"/>
    </row>
    <row r="69" spans="1:18" x14ac:dyDescent="0.2">
      <c r="A69" s="4" t="s">
        <v>40</v>
      </c>
      <c r="B69" s="4" t="s">
        <v>40</v>
      </c>
      <c r="C69" s="5" t="str">
        <f>IF(G69&gt;45, IF(G69&lt;52, IF((N69+O69)&lt;5,"basalt","alkali basalt")),IF(G69&lt;57,IF((N69+O69)&lt;6,"basaltic andesite","alkali intermediate"), IF((N69+O69)&lt;3, "picro-basalt","basanite")))</f>
        <v>basalt</v>
      </c>
      <c r="D69" s="5" t="str">
        <f>IF(R69=0,"H2O",IF(Q69&lt;0.4,"CO2","none"))</f>
        <v>H2O</v>
      </c>
      <c r="E69">
        <v>1200</v>
      </c>
      <c r="F69">
        <v>206</v>
      </c>
      <c r="G69" s="6">
        <v>50.8</v>
      </c>
      <c r="H69" s="6">
        <v>1.84</v>
      </c>
      <c r="I69" s="6">
        <v>13.7</v>
      </c>
      <c r="J69" s="6">
        <v>12.4</v>
      </c>
      <c r="K69" s="6"/>
      <c r="L69" s="6">
        <v>6.67</v>
      </c>
      <c r="M69" s="6">
        <v>11.5</v>
      </c>
      <c r="N69" s="6">
        <v>2.68</v>
      </c>
      <c r="O69" s="6">
        <v>0.15</v>
      </c>
      <c r="P69" s="6">
        <v>0.19</v>
      </c>
      <c r="Q69" s="6">
        <v>1.28</v>
      </c>
      <c r="R69" s="7"/>
    </row>
    <row r="70" spans="1:18" x14ac:dyDescent="0.2">
      <c r="A70" t="s">
        <v>40</v>
      </c>
      <c r="B70" t="s">
        <v>40</v>
      </c>
      <c r="C70" s="5" t="str">
        <f>IF(G70&gt;45, IF(G70&lt;52, IF((N70+O70)&lt;5,"basalt","alkali basalt")),IF(G70&lt;57,IF((N70+O70)&lt;6,"basaltic andesite","alkali intermediate"), IF((N70+O70)&lt;3, "picro-basalt","basanite")))</f>
        <v>basalt</v>
      </c>
      <c r="D70" s="5" t="str">
        <f>IF(R70=0,"H2O",IF(Q70&lt;0.4,"CO2","none"))</f>
        <v>H2O</v>
      </c>
      <c r="E70">
        <v>1200</v>
      </c>
      <c r="F70">
        <v>201</v>
      </c>
      <c r="G70" s="6">
        <v>50.8</v>
      </c>
      <c r="H70" s="6">
        <v>1.84</v>
      </c>
      <c r="I70" s="6">
        <v>13.7</v>
      </c>
      <c r="J70" s="6">
        <v>12.4</v>
      </c>
      <c r="K70" s="6"/>
      <c r="L70" s="6">
        <v>6.67</v>
      </c>
      <c r="M70" s="6">
        <v>11.5</v>
      </c>
      <c r="N70" s="6">
        <v>2.68</v>
      </c>
      <c r="O70" s="6">
        <v>0.15</v>
      </c>
      <c r="P70" s="6">
        <v>0.19</v>
      </c>
      <c r="Q70" s="6">
        <v>1.43</v>
      </c>
      <c r="R70" s="7"/>
    </row>
    <row r="71" spans="1:18" x14ac:dyDescent="0.2">
      <c r="A71" s="4" t="s">
        <v>40</v>
      </c>
      <c r="B71" s="4" t="s">
        <v>40</v>
      </c>
      <c r="C71" s="5" t="str">
        <f>IF(G71&gt;45, IF(G71&lt;52, IF((N71+O71)&lt;5,"basalt","alkali basalt")),IF(G71&lt;57,IF((N71+O71)&lt;6,"basaltic andesite","alkali intermediate"), IF((N71+O71)&lt;3, "picro-basalt","basanite")))</f>
        <v>basalt</v>
      </c>
      <c r="D71" s="5" t="str">
        <f>IF(R71=0,"H2O",IF(Q71&lt;0.4,"CO2","none"))</f>
        <v>H2O</v>
      </c>
      <c r="E71">
        <v>1200</v>
      </c>
      <c r="F71">
        <v>201</v>
      </c>
      <c r="G71" s="6">
        <v>50.8</v>
      </c>
      <c r="H71" s="6">
        <v>1.84</v>
      </c>
      <c r="I71" s="6">
        <v>13.7</v>
      </c>
      <c r="J71" s="6">
        <v>12.4</v>
      </c>
      <c r="K71" s="6"/>
      <c r="L71" s="6">
        <v>6.67</v>
      </c>
      <c r="M71" s="6">
        <v>11.5</v>
      </c>
      <c r="N71" s="6">
        <v>2.68</v>
      </c>
      <c r="O71" s="6">
        <v>0.15</v>
      </c>
      <c r="P71" s="6">
        <v>0.19</v>
      </c>
      <c r="Q71" s="6">
        <v>1.43</v>
      </c>
      <c r="R71" s="7"/>
    </row>
    <row r="72" spans="1:18" x14ac:dyDescent="0.2">
      <c r="A72" s="4" t="s">
        <v>31</v>
      </c>
      <c r="B72" s="4" t="s">
        <v>31</v>
      </c>
      <c r="C72" s="5" t="str">
        <f>IF(G72&gt;45, IF(G72&lt;52, IF((N72+O72)&lt;5,"basalt","alkali basalt")),IF(G72&lt;57,IF((N72+O72)&lt;6,"basaltic andesite","alkali intermediate"), IF((N72+O72)&lt;3, "picro-basalt","basanite")))</f>
        <v>basalt</v>
      </c>
      <c r="D72" s="5" t="str">
        <f>IF(R72=0,"H2O",IF(Q72&lt;0.4,"CO2","none"))</f>
        <v>H2O</v>
      </c>
      <c r="E72">
        <v>1200</v>
      </c>
      <c r="F72">
        <v>163</v>
      </c>
      <c r="G72" s="6">
        <v>49.4</v>
      </c>
      <c r="H72" s="6">
        <v>0.8</v>
      </c>
      <c r="I72" s="6">
        <v>15.8</v>
      </c>
      <c r="J72" s="6">
        <v>7.64</v>
      </c>
      <c r="K72" s="6"/>
      <c r="L72" s="6">
        <v>8</v>
      </c>
      <c r="M72" s="6">
        <v>12.7</v>
      </c>
      <c r="N72" s="6">
        <v>2.2999999999999998</v>
      </c>
      <c r="O72" s="6">
        <v>1.9</v>
      </c>
      <c r="P72" s="6">
        <v>0.4</v>
      </c>
      <c r="Q72" s="6">
        <v>0.98</v>
      </c>
      <c r="R72" s="7"/>
    </row>
    <row r="73" spans="1:18" x14ac:dyDescent="0.2">
      <c r="G73" s="6">
        <f>AVERAGE(G2:G72)</f>
        <v>49.584366769876517</v>
      </c>
      <c r="H73" s="6">
        <f t="shared" ref="H73:Q73" si="0">AVERAGE(H2:H72)</f>
        <v>1.3573013037893593</v>
      </c>
      <c r="I73" s="6">
        <f t="shared" si="0"/>
        <v>15.513717376151433</v>
      </c>
      <c r="J73" s="6">
        <f t="shared" si="0"/>
        <v>10.05421984118431</v>
      </c>
      <c r="K73" s="6">
        <f t="shared" si="0"/>
        <v>0.15987465000475948</v>
      </c>
      <c r="L73" s="6">
        <f t="shared" si="0"/>
        <v>7.1441232315146346</v>
      </c>
      <c r="M73" s="6">
        <f t="shared" si="0"/>
        <v>11.89427261875956</v>
      </c>
      <c r="N73" s="6">
        <f t="shared" si="0"/>
        <v>2.5246379296114161</v>
      </c>
      <c r="O73" s="6">
        <f t="shared" si="0"/>
        <v>0.64577696819175412</v>
      </c>
      <c r="P73" s="6">
        <f t="shared" si="0"/>
        <v>0.22007561202030032</v>
      </c>
      <c r="Q73" s="6">
        <f t="shared" si="0"/>
        <v>3.8623566541967125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Iacovino, Kayla</dc:creator>
  <cp:lastModifiedBy>Iacovino, Kayla</cp:lastModifiedBy>
  <dcterms:created xsi:type="dcterms:W3CDTF">2025-09-07T04:00:47Z</dcterms:created>
  <dcterms:modified xsi:type="dcterms:W3CDTF">2025-09-07T04:01:00Z</dcterms:modified>
</cp:coreProperties>
</file>