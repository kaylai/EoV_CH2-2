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covino/PythonGit/EoV_CH2-2/figures/Figure2/data/experiments/"/>
    </mc:Choice>
  </mc:AlternateContent>
  <xr:revisionPtr revIDLastSave="0" documentId="13_ncr:1_{3F7DBEE5-2425-EB4F-B070-F8139E42E928}" xr6:coauthVersionLast="47" xr6:coauthVersionMax="47" xr10:uidLastSave="{00000000-0000-0000-0000-000000000000}"/>
  <bookViews>
    <workbookView xWindow="25820" yWindow="620" windowWidth="30080" windowHeight="33220" xr2:uid="{76C67D96-5D75-DE4C-9285-139C74D03683}"/>
  </bookViews>
  <sheets>
    <sheet name="Sheet1" sheetId="1" r:id="rId1"/>
  </sheets>
  <definedNames>
    <definedName name="_xlnm._FilterDatabase" localSheetId="0" hidden="1">Sheet1!$A$1:$R$45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30" i="1"/>
  <c r="D38" i="1"/>
  <c r="D47" i="1"/>
  <c r="D48" i="1"/>
  <c r="D45" i="1"/>
  <c r="D34" i="1"/>
  <c r="D27" i="1"/>
  <c r="D46" i="1"/>
  <c r="D40" i="1"/>
  <c r="D33" i="1"/>
  <c r="D28" i="1"/>
  <c r="D15" i="1"/>
  <c r="D12" i="1"/>
  <c r="D37" i="1"/>
  <c r="D36" i="1"/>
  <c r="D35" i="1"/>
  <c r="D26" i="1"/>
  <c r="D14" i="1"/>
  <c r="D5" i="1"/>
  <c r="D2" i="1"/>
  <c r="D41" i="1"/>
  <c r="D19" i="1"/>
  <c r="D20" i="1"/>
  <c r="D21" i="1"/>
  <c r="D22" i="1"/>
  <c r="D23" i="1"/>
  <c r="D17" i="1"/>
  <c r="D16" i="1"/>
  <c r="D10" i="1"/>
  <c r="D6" i="1"/>
  <c r="D7" i="1"/>
  <c r="D18" i="1"/>
  <c r="D13" i="1"/>
  <c r="D8" i="1"/>
  <c r="D4" i="1"/>
  <c r="D3" i="1"/>
  <c r="D9" i="1"/>
  <c r="D43" i="1"/>
  <c r="D31" i="1"/>
  <c r="D44" i="1"/>
  <c r="D39" i="1"/>
  <c r="D32" i="1"/>
  <c r="D24" i="1"/>
  <c r="D11" i="1"/>
  <c r="D25" i="1"/>
  <c r="D42" i="1"/>
  <c r="J48" i="1"/>
  <c r="J47" i="1"/>
  <c r="J38" i="1"/>
  <c r="J30" i="1"/>
  <c r="J29" i="1"/>
  <c r="J42" i="1"/>
</calcChain>
</file>

<file path=xl/sharedStrings.xml><?xml version="1.0" encoding="utf-8"?>
<sst xmlns="http://schemas.openxmlformats.org/spreadsheetml/2006/main" count="93" uniqueCount="55">
  <si>
    <t>Label</t>
  </si>
  <si>
    <t>Citation</t>
  </si>
  <si>
    <t>Simplified Rock Type</t>
  </si>
  <si>
    <t>T_C</t>
  </si>
  <si>
    <t>P_bar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</si>
  <si>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</si>
  <si>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</si>
  <si>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</si>
  <si>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</si>
  <si>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</si>
  <si>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</si>
  <si>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</si>
  <si>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</si>
  <si>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</si>
  <si>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</si>
  <si>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</si>
  <si>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Berndt et al 2002</t>
  </si>
  <si>
    <t>Berndt et al.2002</t>
  </si>
  <si>
    <t>An56Di44</t>
  </si>
  <si>
    <t>Benne and Behrens, 2003</t>
  </si>
  <si>
    <t>Shishkina et al., 2010</t>
  </si>
  <si>
    <t>Lesne et al 2011</t>
  </si>
  <si>
    <t>Botcharnikov et al., 2005</t>
  </si>
  <si>
    <t>B2507</t>
  </si>
  <si>
    <t>Metrich &amp; Rutherford 1998</t>
  </si>
  <si>
    <t>Dixon et al. 1995</t>
  </si>
  <si>
    <t>Hamilton et al. 1964</t>
  </si>
  <si>
    <t>ET933-29</t>
  </si>
  <si>
    <t>ET933-30</t>
  </si>
  <si>
    <t>ET933-18</t>
  </si>
  <si>
    <t>ET933-15</t>
  </si>
  <si>
    <t>ET933-38</t>
  </si>
  <si>
    <t>ET933-07</t>
  </si>
  <si>
    <t>ET933-04</t>
  </si>
  <si>
    <t>ET933-53</t>
  </si>
  <si>
    <t>Et-48/2</t>
  </si>
  <si>
    <t>Et-51/2</t>
  </si>
  <si>
    <t>PST-9, Run1#5</t>
  </si>
  <si>
    <t>PST-9, Run3#3</t>
  </si>
  <si>
    <t>PST-9, Run1#12</t>
  </si>
  <si>
    <t>PST-9, Run42#3</t>
  </si>
  <si>
    <t>PST-9, Run37#3</t>
  </si>
  <si>
    <t>PST-9, Run5#3</t>
  </si>
  <si>
    <t>PST-9, Run48#3</t>
  </si>
  <si>
    <t>PST-9, Run51#3</t>
  </si>
  <si>
    <t>Reference Number</t>
  </si>
  <si>
    <t>SC1, B17</t>
  </si>
  <si>
    <t>17H</t>
  </si>
  <si>
    <t>20H</t>
  </si>
  <si>
    <t>21H</t>
  </si>
  <si>
    <t>M22</t>
  </si>
  <si>
    <t>M33</t>
  </si>
  <si>
    <t>M11</t>
  </si>
  <si>
    <t>M7</t>
  </si>
  <si>
    <t>M13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</si>
</sst>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</cellXfs>
  <cellStyles count="2">
    <cellStyle name="Normal" xfId="0" builtinId="0"/>
    <cellStyle name="Normal 2" xfId="1" xr:uid="{941DBEFF-89EA-C949-8115-C81EAB3F7A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3B3E-50DF-364F-BB29-CD6A7E46018A}">
  <dimension ref="A1:R48"/>
  <sheetViews>
    <sheetView tabSelected="1" zoomScale="125" workbookViewId="0">
      <selection activeCell="B51" sqref="B51"/>
    </sheetView>
  </sheetViews>
  <sheetFormatPr baseColWidth="10" defaultRowHeight="16" x14ac:dyDescent="0.2"/>
  <cols>
    <col min="1" max="1" width="14" style="9" bestFit="1" customWidth="1"/>
    <col min="2" max="2" width="22.6640625" bestFit="1" customWidth="1"/>
    <col min="3" max="3" width="18.1640625" style="9" customWidth="1"/>
    <col min="5" max="5" width="6.6640625" bestFit="1" customWidth="1"/>
    <col min="6" max="6" width="8.33203125" bestFit="1" customWidth="1"/>
    <col min="7" max="7" width="7.5" bestFit="1" customWidth="1"/>
    <col min="8" max="8" width="7.33203125" bestFit="1" customWidth="1"/>
    <col min="9" max="9" width="8.6640625" bestFit="1" customWidth="1"/>
    <col min="10" max="10" width="7" bestFit="1" customWidth="1"/>
    <col min="11" max="12" width="7.5" bestFit="1" customWidth="1"/>
    <col min="13" max="13" width="7.33203125" bestFit="1" customWidth="1"/>
    <col min="14" max="14" width="8.33203125" bestFit="1" customWidth="1"/>
    <col min="15" max="15" width="7.1640625" bestFit="1" customWidth="1"/>
    <col min="16" max="16" width="8.1640625" bestFit="1" customWidth="1"/>
    <col min="17" max="18" width="7.33203125" bestFit="1" customWidth="1"/>
  </cols>
  <sheetData>
    <row r="1" spans="1:18" x14ac:dyDescent="0.2">
      <c r="A1" s="8" t="s">
        <v>0</v>
      </c>
      <c r="B1" s="7" t="s">
        <v>1</v>
      </c>
      <c r="C1" s="10" t="s">
        <v>45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/>
    </row>
    <row r="2" spans="1:18" x14ac:dyDescent="0.2">
      <c r="A2" s="9" t="s">
        <v>41</v>
      </c>
      <c r="B2" t="s">
        <v>21</v>
      </c>
      <c r="C2" s="11">
        <v>6</v>
      </c>
      <c r="D2" s="4" t="str">
        <f>IF(G2&gt;45, IF(G2&lt;52, IF((N2+O2)&lt;5,"basalt","alkali basalt")),IF(G2&lt;57,IF((N2+O2)&lt;6,"basaltic andesite","alkali intermediate"), IF((N2+O2)&lt;3, "picro-basalt","basanite")))</f>
        <v>basalt</v>
      </c>
      <c r="E2">
        <v>1200</v>
      </c>
      <c r="F2">
        <v>163</v>
      </c>
      <c r="G2" s="5">
        <v>49.4</v>
      </c>
      <c r="H2" s="5">
        <v>0.8</v>
      </c>
      <c r="I2" s="5">
        <v>15.8</v>
      </c>
      <c r="J2" s="5">
        <v>7.64</v>
      </c>
      <c r="K2" s="5">
        <v>0.2</v>
      </c>
      <c r="L2" s="5">
        <v>8</v>
      </c>
      <c r="M2" s="5">
        <v>12.7</v>
      </c>
      <c r="N2" s="5">
        <v>2.2999999999999998</v>
      </c>
      <c r="O2" s="5">
        <v>1.9</v>
      </c>
      <c r="P2" s="5">
        <v>0.4</v>
      </c>
      <c r="Q2" s="5">
        <v>0.98</v>
      </c>
      <c r="R2" s="6"/>
    </row>
    <row r="3" spans="1:18" x14ac:dyDescent="0.2">
      <c r="A3" s="9">
        <v>8</v>
      </c>
      <c r="B3" t="s">
        <v>25</v>
      </c>
      <c r="C3" s="11">
        <v>8</v>
      </c>
      <c r="D3" s="4" t="str">
        <f>IF(G3&gt;45, IF(G3&lt;52, IF((N3+O3)&lt;5,"basalt","alkali basalt")),IF(G3&lt;57,IF((N3+O3)&lt;6,"basaltic andesite","alkali intermediate"), IF((N3+O3)&lt;3, "picro-basalt","basanite")))</f>
        <v>basalt</v>
      </c>
      <c r="E3">
        <v>1200</v>
      </c>
      <c r="F3">
        <v>201</v>
      </c>
      <c r="G3" s="5">
        <v>50.8</v>
      </c>
      <c r="H3" s="5">
        <v>1.84</v>
      </c>
      <c r="I3" s="5">
        <v>13.7</v>
      </c>
      <c r="J3" s="5">
        <v>12.4</v>
      </c>
      <c r="K3" s="5">
        <v>0.22</v>
      </c>
      <c r="L3" s="5">
        <v>6.67</v>
      </c>
      <c r="M3" s="5">
        <v>11.5</v>
      </c>
      <c r="N3" s="5">
        <v>2.68</v>
      </c>
      <c r="O3" s="5">
        <v>0.15</v>
      </c>
      <c r="P3" s="5">
        <v>0.19</v>
      </c>
      <c r="Q3" s="5">
        <v>1.43</v>
      </c>
      <c r="R3" s="6"/>
    </row>
    <row r="4" spans="1:18" x14ac:dyDescent="0.2">
      <c r="A4" s="9">
        <v>7</v>
      </c>
      <c r="B4" t="s">
        <v>25</v>
      </c>
      <c r="C4" s="11">
        <v>8</v>
      </c>
      <c r="D4" s="4" t="str">
        <f>IF(G4&gt;45, IF(G4&lt;52, IF((N4+O4)&lt;5,"basalt","alkali basalt")),IF(G4&lt;57,IF((N4+O4)&lt;6,"basaltic andesite","alkali intermediate"), IF((N4+O4)&lt;3, "picro-basalt","basanite")))</f>
        <v>basalt</v>
      </c>
      <c r="E4">
        <v>1200</v>
      </c>
      <c r="F4">
        <v>206</v>
      </c>
      <c r="G4" s="5">
        <v>50.8</v>
      </c>
      <c r="H4" s="5">
        <v>1.84</v>
      </c>
      <c r="I4" s="5">
        <v>13.7</v>
      </c>
      <c r="J4" s="5">
        <v>12.4</v>
      </c>
      <c r="K4" s="5">
        <v>0.22</v>
      </c>
      <c r="L4" s="5">
        <v>6.67</v>
      </c>
      <c r="M4" s="5">
        <v>11.5</v>
      </c>
      <c r="N4" s="5">
        <v>2.68</v>
      </c>
      <c r="O4" s="5">
        <v>0.15</v>
      </c>
      <c r="P4" s="5">
        <v>0.19</v>
      </c>
      <c r="Q4" s="5">
        <v>1.28</v>
      </c>
      <c r="R4" s="6"/>
    </row>
    <row r="5" spans="1:18" x14ac:dyDescent="0.2">
      <c r="A5" s="9" t="s">
        <v>40</v>
      </c>
      <c r="B5" t="s">
        <v>21</v>
      </c>
      <c r="C5" s="11">
        <v>6</v>
      </c>
      <c r="D5" s="4" t="str">
        <f>IF(G5&gt;45, IF(G5&lt;52, IF((N5+O5)&lt;5,"basalt","alkali basalt")),IF(G5&lt;57,IF((N5+O5)&lt;6,"basaltic andesite","alkali intermediate"), IF((N5+O5)&lt;3, "picro-basalt","basanite")))</f>
        <v>basalt</v>
      </c>
      <c r="E5">
        <v>1200</v>
      </c>
      <c r="F5">
        <v>232</v>
      </c>
      <c r="G5" s="5">
        <v>49.4</v>
      </c>
      <c r="H5" s="5">
        <v>0.8</v>
      </c>
      <c r="I5" s="5">
        <v>15.8</v>
      </c>
      <c r="J5" s="5">
        <v>7.64</v>
      </c>
      <c r="K5" s="5">
        <v>0.2</v>
      </c>
      <c r="L5" s="5">
        <v>8</v>
      </c>
      <c r="M5" s="5">
        <v>12.7</v>
      </c>
      <c r="N5" s="5">
        <v>2.2999999999999998</v>
      </c>
      <c r="O5" s="5">
        <v>1.9</v>
      </c>
      <c r="P5" s="5">
        <v>0.4</v>
      </c>
      <c r="Q5" s="5">
        <v>1.53</v>
      </c>
      <c r="R5" s="6"/>
    </row>
    <row r="6" spans="1:18" x14ac:dyDescent="0.2">
      <c r="A6" s="9" t="s">
        <v>36</v>
      </c>
      <c r="B6" t="s">
        <v>24</v>
      </c>
      <c r="C6" s="11">
        <v>7</v>
      </c>
      <c r="D6" s="4" t="str">
        <f>IF(G6&gt;45, IF(G6&lt;52, IF((N6+O6)&lt;5,"basalt","alkali basalt")),IF(G6&lt;57,IF((N6+O6)&lt;6,"basaltic andesite","alkali intermediate"), IF((N6+O6)&lt;3, "picro-basalt","basanite")))</f>
        <v>basalt</v>
      </c>
      <c r="E6">
        <v>1092</v>
      </c>
      <c r="F6">
        <v>270</v>
      </c>
      <c r="G6" s="5">
        <v>46.7</v>
      </c>
      <c r="H6" s="5">
        <v>1.62</v>
      </c>
      <c r="I6" s="5">
        <v>15.73</v>
      </c>
      <c r="J6" s="5">
        <v>11.78</v>
      </c>
      <c r="K6" s="5">
        <v>0.2</v>
      </c>
      <c r="L6" s="5">
        <v>6.03</v>
      </c>
      <c r="M6" s="5">
        <v>11.64</v>
      </c>
      <c r="N6" s="5">
        <v>2.85</v>
      </c>
      <c r="O6" s="5">
        <v>1.21</v>
      </c>
      <c r="P6" s="5">
        <v>0.23</v>
      </c>
      <c r="Q6" s="5">
        <v>1.3</v>
      </c>
      <c r="R6" s="6"/>
    </row>
    <row r="7" spans="1:18" x14ac:dyDescent="0.2">
      <c r="A7" s="9" t="s">
        <v>35</v>
      </c>
      <c r="B7" t="s">
        <v>24</v>
      </c>
      <c r="C7" s="11">
        <v>7</v>
      </c>
      <c r="D7" s="4" t="str">
        <f>IF(G7&gt;45, IF(G7&lt;52, IF((N7+O7)&lt;5,"basalt","alkali basalt")),IF(G7&lt;57,IF((N7+O7)&lt;6,"basaltic andesite","alkali intermediate"), IF((N7+O7)&lt;3, "picro-basalt","basanite")))</f>
        <v>basalt</v>
      </c>
      <c r="E7">
        <v>1100</v>
      </c>
      <c r="F7">
        <v>270</v>
      </c>
      <c r="G7" s="5">
        <v>47.91</v>
      </c>
      <c r="H7" s="5">
        <v>1.56</v>
      </c>
      <c r="I7" s="5">
        <v>16</v>
      </c>
      <c r="J7" s="5">
        <v>11.24</v>
      </c>
      <c r="K7" s="5">
        <v>0.2</v>
      </c>
      <c r="L7" s="5">
        <v>6.09</v>
      </c>
      <c r="M7" s="5">
        <v>11.46</v>
      </c>
      <c r="N7" s="5">
        <v>2.93</v>
      </c>
      <c r="O7" s="5">
        <v>1.36</v>
      </c>
      <c r="P7" s="5">
        <v>0.36</v>
      </c>
      <c r="Q7" s="5">
        <v>1.6</v>
      </c>
      <c r="R7" s="6"/>
    </row>
    <row r="8" spans="1:18" x14ac:dyDescent="0.2">
      <c r="A8" s="9">
        <v>9</v>
      </c>
      <c r="B8" t="s">
        <v>25</v>
      </c>
      <c r="C8" s="11">
        <v>8</v>
      </c>
      <c r="D8" s="4" t="str">
        <f>IF(G8&gt;45, IF(G8&lt;52, IF((N8+O8)&lt;5,"basalt","alkali basalt")),IF(G8&lt;57,IF((N8+O8)&lt;6,"basaltic andesite","alkali intermediate"), IF((N8+O8)&lt;3, "picro-basalt","basanite")))</f>
        <v>basalt</v>
      </c>
      <c r="E8">
        <v>1200</v>
      </c>
      <c r="F8">
        <v>300</v>
      </c>
      <c r="G8" s="5">
        <v>50.8</v>
      </c>
      <c r="H8" s="5">
        <v>1.84</v>
      </c>
      <c r="I8" s="5">
        <v>13.7</v>
      </c>
      <c r="J8" s="5">
        <v>12.4</v>
      </c>
      <c r="K8" s="5">
        <v>0.22</v>
      </c>
      <c r="L8" s="5">
        <v>6.67</v>
      </c>
      <c r="M8" s="5">
        <v>11.5</v>
      </c>
      <c r="N8" s="5">
        <v>2.68</v>
      </c>
      <c r="O8" s="5">
        <v>0.15</v>
      </c>
      <c r="P8" s="5">
        <v>0.19</v>
      </c>
      <c r="Q8" s="5">
        <v>1.74</v>
      </c>
      <c r="R8" s="6"/>
    </row>
    <row r="9" spans="1:18" x14ac:dyDescent="0.2">
      <c r="A9" s="9" t="s">
        <v>48</v>
      </c>
      <c r="B9" t="s">
        <v>25</v>
      </c>
      <c r="C9" s="11">
        <v>8</v>
      </c>
      <c r="D9" s="4" t="str">
        <f>IF(G9&gt;45, IF(G9&lt;52, IF((N9+O9)&lt;5,"basalt","alkali basalt")),IF(G9&lt;57,IF((N9+O9)&lt;6,"basaltic andesite","alkali intermediate"), IF((N9+O9)&lt;3, "picro-basalt","basanite")))</f>
        <v>basalt</v>
      </c>
      <c r="E9">
        <v>1200</v>
      </c>
      <c r="F9">
        <v>310</v>
      </c>
      <c r="G9" s="5">
        <v>50.8</v>
      </c>
      <c r="H9" s="5">
        <v>1.84</v>
      </c>
      <c r="I9" s="5">
        <v>13.7</v>
      </c>
      <c r="J9" s="5">
        <v>12.4</v>
      </c>
      <c r="K9" s="5">
        <v>0.22</v>
      </c>
      <c r="L9" s="5">
        <v>6.67</v>
      </c>
      <c r="M9" s="5">
        <v>11.5</v>
      </c>
      <c r="N9" s="5">
        <v>2.68</v>
      </c>
      <c r="O9" s="5">
        <v>0.15</v>
      </c>
      <c r="P9" s="5">
        <v>0.19</v>
      </c>
      <c r="Q9" s="5">
        <v>1.71</v>
      </c>
      <c r="R9" s="6"/>
    </row>
    <row r="10" spans="1:18" x14ac:dyDescent="0.2">
      <c r="A10" s="9" t="s">
        <v>34</v>
      </c>
      <c r="B10" t="s">
        <v>24</v>
      </c>
      <c r="C10" s="11">
        <v>7</v>
      </c>
      <c r="D10" s="4" t="str">
        <f>IF(G10&gt;45, IF(G10&lt;52, IF((N10+O10)&lt;5,"basalt","alkali basalt")),IF(G10&lt;57,IF((N10+O10)&lt;6,"basaltic andesite","alkali intermediate"), IF((N10+O10)&lt;3, "picro-basalt","basanite")))</f>
        <v>basalt</v>
      </c>
      <c r="E10">
        <v>1085</v>
      </c>
      <c r="F10">
        <v>400</v>
      </c>
      <c r="G10" s="5">
        <v>48.28</v>
      </c>
      <c r="H10" s="5">
        <v>1.76</v>
      </c>
      <c r="I10" s="5">
        <v>16.38</v>
      </c>
      <c r="J10" s="5">
        <v>10.47</v>
      </c>
      <c r="K10" s="5">
        <v>0.18</v>
      </c>
      <c r="L10" s="5">
        <v>5.29</v>
      </c>
      <c r="M10" s="5">
        <v>10.86</v>
      </c>
      <c r="N10" s="5">
        <v>3.26</v>
      </c>
      <c r="O10" s="5">
        <v>1.58</v>
      </c>
      <c r="P10" s="5">
        <v>0.46</v>
      </c>
      <c r="Q10" s="5">
        <v>2.2000000000000002</v>
      </c>
      <c r="R10" s="6"/>
    </row>
    <row r="11" spans="1:18" x14ac:dyDescent="0.2">
      <c r="A11" s="9" t="s">
        <v>54</v>
      </c>
      <c r="B11" t="s">
        <v>20</v>
      </c>
      <c r="C11" s="9">
        <v>22</v>
      </c>
      <c r="D11" s="4" t="str">
        <f>IF(G11&gt;45, IF(G11&lt;52, IF((N11+O11)&lt;5,"basalt","alkali basalt")),IF(G11&lt;57,IF((N11+O11)&lt;6,"basaltic andesite","alkali intermediate"), IF((N11+O11)&lt;3, "picro-basalt","basanite")))</f>
        <v>basalt</v>
      </c>
      <c r="E11">
        <v>1250</v>
      </c>
      <c r="F11">
        <v>500</v>
      </c>
      <c r="G11" s="5">
        <v>50.17</v>
      </c>
      <c r="H11" s="5">
        <v>0.92009200920092016</v>
      </c>
      <c r="I11" s="5">
        <v>18.281828182818284</v>
      </c>
      <c r="J11" s="5">
        <v>9.3709370937093706</v>
      </c>
      <c r="K11" s="5">
        <v>0.17001700170017003</v>
      </c>
      <c r="L11" s="5">
        <v>7.0007000700070012</v>
      </c>
      <c r="M11" s="5">
        <v>11.371137113711372</v>
      </c>
      <c r="N11" s="5">
        <v>2.3302330233023305</v>
      </c>
      <c r="O11" s="5">
        <v>0.23002300230023004</v>
      </c>
      <c r="P11" s="5">
        <v>0.15001500150015001</v>
      </c>
      <c r="Q11" s="5">
        <v>1.67</v>
      </c>
      <c r="R11" s="6"/>
    </row>
    <row r="12" spans="1:18" x14ac:dyDescent="0.2">
      <c r="A12" s="9">
        <v>125</v>
      </c>
      <c r="B12" t="s">
        <v>17</v>
      </c>
      <c r="C12" s="11">
        <v>5</v>
      </c>
      <c r="D12" s="4" t="str">
        <f>IF(G12&gt;45, IF(G12&lt;52, IF((N12+O12)&lt;5,"basalt","alkali basalt")),IF(G12&lt;57,IF((N12+O12)&lt;6,"basaltic andesite","alkali intermediate"), IF((N12+O12)&lt;3, "picro-basalt","basanite")))</f>
        <v>basalt</v>
      </c>
      <c r="E12">
        <v>1200</v>
      </c>
      <c r="F12">
        <v>505</v>
      </c>
      <c r="G12" s="5">
        <v>49.64</v>
      </c>
      <c r="H12" s="5">
        <v>0.87</v>
      </c>
      <c r="I12" s="5">
        <v>16.07</v>
      </c>
      <c r="J12" s="5">
        <v>8.6300000000000008</v>
      </c>
      <c r="K12" s="5">
        <v>0.15</v>
      </c>
      <c r="L12" s="5">
        <v>9.76</v>
      </c>
      <c r="M12" s="5">
        <v>12.44</v>
      </c>
      <c r="N12" s="5">
        <v>2.2799999999999998</v>
      </c>
      <c r="O12" s="5">
        <v>0.08</v>
      </c>
      <c r="P12" s="5">
        <v>0.08</v>
      </c>
      <c r="Q12" s="5">
        <v>2.2000000000000002</v>
      </c>
      <c r="R12" s="6"/>
    </row>
    <row r="13" spans="1:18" x14ac:dyDescent="0.2">
      <c r="A13" s="9" t="s">
        <v>49</v>
      </c>
      <c r="B13" t="s">
        <v>25</v>
      </c>
      <c r="C13" s="11">
        <v>8</v>
      </c>
      <c r="D13" s="4" t="str">
        <f>IF(G13&gt;45, IF(G13&lt;52, IF((N13+O13)&lt;5,"basalt","alkali basalt")),IF(G13&lt;57,IF((N13+O13)&lt;6,"basaltic andesite","alkali intermediate"), IF((N13+O13)&lt;3, "picro-basalt","basanite")))</f>
        <v>basalt</v>
      </c>
      <c r="E13">
        <v>1200</v>
      </c>
      <c r="F13">
        <v>507</v>
      </c>
      <c r="G13" s="5">
        <v>49.7</v>
      </c>
      <c r="H13" s="5">
        <v>1.58</v>
      </c>
      <c r="I13" s="5">
        <v>14.4</v>
      </c>
      <c r="J13" s="5">
        <v>11.3</v>
      </c>
      <c r="K13" s="5">
        <v>0.18</v>
      </c>
      <c r="L13" s="5">
        <v>7.14</v>
      </c>
      <c r="M13" s="5">
        <v>12.31</v>
      </c>
      <c r="N13" s="5">
        <v>2.93</v>
      </c>
      <c r="O13" s="5">
        <v>0.16</v>
      </c>
      <c r="P13" s="5">
        <v>0.11</v>
      </c>
      <c r="Q13" s="5">
        <v>2.23</v>
      </c>
      <c r="R13" s="6"/>
    </row>
    <row r="14" spans="1:18" x14ac:dyDescent="0.2">
      <c r="A14" s="9" t="s">
        <v>38</v>
      </c>
      <c r="B14" t="s">
        <v>21</v>
      </c>
      <c r="C14" s="11">
        <v>6</v>
      </c>
      <c r="D14" s="4" t="str">
        <f>IF(G14&gt;45, IF(G14&lt;52, IF((N14+O14)&lt;5,"basalt","alkali basalt")),IF(G14&lt;57,IF((N14+O14)&lt;6,"basaltic andesite","alkali intermediate"), IF((N14+O14)&lt;3, "picro-basalt","basanite")))</f>
        <v>basalt</v>
      </c>
      <c r="E14">
        <v>1200</v>
      </c>
      <c r="F14">
        <v>524</v>
      </c>
      <c r="G14" s="5">
        <v>49.4</v>
      </c>
      <c r="H14" s="5">
        <v>0.8</v>
      </c>
      <c r="I14" s="5">
        <v>15.8</v>
      </c>
      <c r="J14" s="5">
        <v>7.64</v>
      </c>
      <c r="K14" s="5">
        <v>0.2</v>
      </c>
      <c r="L14" s="5">
        <v>8</v>
      </c>
      <c r="M14" s="5">
        <v>12.7</v>
      </c>
      <c r="N14" s="5">
        <v>2.2999999999999998</v>
      </c>
      <c r="O14" s="5">
        <v>1.9</v>
      </c>
      <c r="P14" s="5">
        <v>0.4</v>
      </c>
      <c r="Q14" s="5">
        <v>2.21</v>
      </c>
      <c r="R14" s="6"/>
    </row>
    <row r="15" spans="1:18" x14ac:dyDescent="0.2">
      <c r="A15" s="9">
        <v>25</v>
      </c>
      <c r="B15" t="s">
        <v>17</v>
      </c>
      <c r="C15" s="11">
        <v>5</v>
      </c>
      <c r="D15" s="4" t="str">
        <f>IF(G15&gt;45, IF(G15&lt;52, IF((N15+O15)&lt;5,"basalt","alkali basalt")),IF(G15&lt;57,IF((N15+O15)&lt;6,"basaltic andesite","alkali intermediate"), IF((N15+O15)&lt;3, "picro-basalt","basanite")))</f>
        <v>basalt</v>
      </c>
      <c r="E15">
        <v>1200</v>
      </c>
      <c r="F15">
        <v>532</v>
      </c>
      <c r="G15" s="5">
        <v>49.64</v>
      </c>
      <c r="H15" s="5">
        <v>0.87</v>
      </c>
      <c r="I15" s="5">
        <v>16.07</v>
      </c>
      <c r="J15" s="5">
        <v>8.6300000000000008</v>
      </c>
      <c r="K15" s="5">
        <v>0.15</v>
      </c>
      <c r="L15" s="5">
        <v>9.76</v>
      </c>
      <c r="M15" s="5">
        <v>12.44</v>
      </c>
      <c r="N15" s="5">
        <v>2.2799999999999998</v>
      </c>
      <c r="O15" s="5">
        <v>0.08</v>
      </c>
      <c r="P15" s="5">
        <v>0.08</v>
      </c>
      <c r="Q15" s="5">
        <v>2.23</v>
      </c>
      <c r="R15" s="6"/>
    </row>
    <row r="16" spans="1:18" x14ac:dyDescent="0.2">
      <c r="A16" s="9" t="s">
        <v>33</v>
      </c>
      <c r="B16" t="s">
        <v>24</v>
      </c>
      <c r="C16" s="11">
        <v>7</v>
      </c>
      <c r="D16" s="4" t="str">
        <f>IF(G16&gt;45, IF(G16&lt;52, IF((N16+O16)&lt;5,"basalt","alkali basalt")),IF(G16&lt;57,IF((N16+O16)&lt;6,"basaltic andesite","alkali intermediate"), IF((N16+O16)&lt;3, "picro-basalt","basanite")))</f>
        <v>basalt</v>
      </c>
      <c r="E16">
        <v>1120</v>
      </c>
      <c r="F16">
        <v>695</v>
      </c>
      <c r="G16" s="5">
        <v>47.98</v>
      </c>
      <c r="H16" s="5">
        <v>1.55</v>
      </c>
      <c r="I16" s="5">
        <v>14.93</v>
      </c>
      <c r="J16" s="5">
        <v>10.23</v>
      </c>
      <c r="K16" s="5">
        <v>0.19</v>
      </c>
      <c r="L16" s="5">
        <v>7.21</v>
      </c>
      <c r="M16" s="5">
        <v>12.33</v>
      </c>
      <c r="N16" s="5">
        <v>2.56</v>
      </c>
      <c r="O16" s="5">
        <v>1.26</v>
      </c>
      <c r="P16" s="5">
        <v>0.38</v>
      </c>
      <c r="Q16" s="5">
        <v>2.5</v>
      </c>
      <c r="R16" s="6"/>
    </row>
    <row r="17" spans="1:18" x14ac:dyDescent="0.2">
      <c r="A17" s="9" t="s">
        <v>32</v>
      </c>
      <c r="B17" t="s">
        <v>24</v>
      </c>
      <c r="C17" s="11">
        <v>7</v>
      </c>
      <c r="D17" s="4" t="str">
        <f>IF(G17&gt;45, IF(G17&lt;52, IF((N17+O17)&lt;5,"basalt","alkali basalt")),IF(G17&lt;57,IF((N17+O17)&lt;6,"basaltic andesite","alkali intermediate"), IF((N17+O17)&lt;3, "picro-basalt","basanite")))</f>
        <v>basalt</v>
      </c>
      <c r="E17">
        <v>1135</v>
      </c>
      <c r="F17">
        <v>710</v>
      </c>
      <c r="G17" s="5">
        <v>47.47</v>
      </c>
      <c r="H17" s="5">
        <v>1.58</v>
      </c>
      <c r="I17" s="5">
        <v>14.92</v>
      </c>
      <c r="J17" s="5">
        <v>10.09</v>
      </c>
      <c r="K17" s="5">
        <v>0.2</v>
      </c>
      <c r="L17" s="5">
        <v>7.4</v>
      </c>
      <c r="M17" s="5">
        <v>12.24</v>
      </c>
      <c r="N17" s="5">
        <v>2.54</v>
      </c>
      <c r="O17" s="5">
        <v>1.26</v>
      </c>
      <c r="P17" s="5">
        <v>0.37</v>
      </c>
      <c r="Q17" s="5">
        <v>2.6</v>
      </c>
      <c r="R17" s="6"/>
    </row>
    <row r="18" spans="1:18" x14ac:dyDescent="0.2">
      <c r="A18" s="9" t="s">
        <v>47</v>
      </c>
      <c r="B18" t="s">
        <v>25</v>
      </c>
      <c r="C18" s="11">
        <v>8</v>
      </c>
      <c r="D18" s="4" t="str">
        <f>IF(G18&gt;45, IF(G18&lt;52, IF((N18+O18)&lt;5,"basalt","alkali basalt")),IF(G18&lt;57,IF((N18+O18)&lt;6,"basaltic andesite","alkali intermediate"), IF((N18+O18)&lt;3, "picro-basalt","basanite")))</f>
        <v>basalt</v>
      </c>
      <c r="E18">
        <v>1200</v>
      </c>
      <c r="F18">
        <v>717</v>
      </c>
      <c r="G18" s="5">
        <v>50.8</v>
      </c>
      <c r="H18" s="5">
        <v>1.84</v>
      </c>
      <c r="I18" s="5">
        <v>13.7</v>
      </c>
      <c r="J18" s="5">
        <v>12.4</v>
      </c>
      <c r="K18" s="5">
        <v>0.22</v>
      </c>
      <c r="L18" s="5">
        <v>6.67</v>
      </c>
      <c r="M18" s="5">
        <v>11.5</v>
      </c>
      <c r="N18" s="5">
        <v>2.68</v>
      </c>
      <c r="O18" s="5">
        <v>0.15</v>
      </c>
      <c r="P18" s="5">
        <v>0.19</v>
      </c>
      <c r="Q18" s="5">
        <v>2.4900000000000002</v>
      </c>
      <c r="R18" s="6"/>
    </row>
    <row r="19" spans="1:18" x14ac:dyDescent="0.2">
      <c r="A19" s="9" t="s">
        <v>27</v>
      </c>
      <c r="B19" t="s">
        <v>24</v>
      </c>
      <c r="C19" s="11">
        <v>7</v>
      </c>
      <c r="D19" s="4" t="str">
        <f>IF(G19&gt;45, IF(G19&lt;52, IF((N19+O19)&lt;5,"basalt","alkali basalt")),IF(G19&lt;57,IF((N19+O19)&lt;6,"basaltic andesite","alkali intermediate"), IF((N19+O19)&lt;3, "picro-basalt","basanite")))</f>
        <v>basalt</v>
      </c>
      <c r="E19">
        <v>1095</v>
      </c>
      <c r="F19">
        <v>800</v>
      </c>
      <c r="G19" s="5">
        <v>47.16</v>
      </c>
      <c r="H19" s="5">
        <v>1.55</v>
      </c>
      <c r="I19" s="5">
        <v>15.09</v>
      </c>
      <c r="J19" s="5">
        <v>10.3</v>
      </c>
      <c r="K19" s="5">
        <v>0.2</v>
      </c>
      <c r="L19" s="5">
        <v>6.35</v>
      </c>
      <c r="M19" s="5">
        <v>12.45</v>
      </c>
      <c r="N19" s="5">
        <v>2.52</v>
      </c>
      <c r="O19" s="5">
        <v>1.1100000000000001</v>
      </c>
      <c r="P19" s="5">
        <v>0.31</v>
      </c>
      <c r="Q19" s="5">
        <v>3.1</v>
      </c>
      <c r="R19" s="6"/>
    </row>
    <row r="20" spans="1:18" x14ac:dyDescent="0.2">
      <c r="A20" s="9" t="s">
        <v>28</v>
      </c>
      <c r="B20" t="s">
        <v>24</v>
      </c>
      <c r="C20" s="11">
        <v>7</v>
      </c>
      <c r="D20" s="4" t="str">
        <f>IF(G20&gt;45, IF(G20&lt;52, IF((N20+O20)&lt;5,"basalt","alkali basalt")),IF(G20&lt;57,IF((N20+O20)&lt;6,"basaltic andesite","alkali intermediate"), IF((N20+O20)&lt;3, "picro-basalt","basanite")))</f>
        <v>basalt</v>
      </c>
      <c r="E20">
        <v>1062</v>
      </c>
      <c r="F20">
        <v>800</v>
      </c>
      <c r="G20" s="5">
        <v>47.64</v>
      </c>
      <c r="H20" s="5">
        <v>1.64</v>
      </c>
      <c r="I20" s="5">
        <v>16.829999999999998</v>
      </c>
      <c r="J20" s="5">
        <v>10.38</v>
      </c>
      <c r="K20" s="5">
        <v>0.19</v>
      </c>
      <c r="L20" s="5">
        <v>5.09</v>
      </c>
      <c r="M20" s="5">
        <v>10.8</v>
      </c>
      <c r="N20" s="5">
        <v>2.89</v>
      </c>
      <c r="O20" s="5">
        <v>1.44</v>
      </c>
      <c r="P20" s="5">
        <v>0.4</v>
      </c>
      <c r="Q20" s="5">
        <v>2.8</v>
      </c>
      <c r="R20" s="6"/>
    </row>
    <row r="21" spans="1:18" x14ac:dyDescent="0.2">
      <c r="A21" s="9" t="s">
        <v>29</v>
      </c>
      <c r="B21" t="s">
        <v>24</v>
      </c>
      <c r="C21" s="11">
        <v>7</v>
      </c>
      <c r="D21" s="4" t="str">
        <f>IF(G21&gt;45, IF(G21&lt;52, IF((N21+O21)&lt;5,"basalt","alkali basalt")),IF(G21&lt;57,IF((N21+O21)&lt;6,"basaltic andesite","alkali intermediate"), IF((N21+O21)&lt;3, "picro-basalt","basanite")))</f>
        <v>basalt</v>
      </c>
      <c r="E21">
        <v>1045</v>
      </c>
      <c r="F21">
        <v>800</v>
      </c>
      <c r="G21" s="5">
        <v>47.65</v>
      </c>
      <c r="H21" s="5">
        <v>1.72</v>
      </c>
      <c r="I21" s="5">
        <v>17.3</v>
      </c>
      <c r="J21" s="5">
        <v>10.33</v>
      </c>
      <c r="K21" s="5">
        <v>0.19</v>
      </c>
      <c r="L21" s="5">
        <v>4.57</v>
      </c>
      <c r="M21" s="5">
        <v>10.52</v>
      </c>
      <c r="N21" s="5">
        <v>2.88</v>
      </c>
      <c r="O21" s="5">
        <v>1.38</v>
      </c>
      <c r="P21" s="5">
        <v>0.36</v>
      </c>
      <c r="Q21" s="5">
        <v>3.1</v>
      </c>
      <c r="R21" s="6"/>
    </row>
    <row r="22" spans="1:18" x14ac:dyDescent="0.2">
      <c r="A22" s="9" t="s">
        <v>30</v>
      </c>
      <c r="B22" t="s">
        <v>24</v>
      </c>
      <c r="C22" s="11">
        <v>7</v>
      </c>
      <c r="D22" s="4" t="str">
        <f>IF(G22&gt;45, IF(G22&lt;52, IF((N22+O22)&lt;5,"basalt","alkali basalt")),IF(G22&lt;57,IF((N22+O22)&lt;6,"basaltic andesite","alkali intermediate"), IF((N22+O22)&lt;3, "picro-basalt","basanite")))</f>
        <v>basalt</v>
      </c>
      <c r="E22">
        <v>1110</v>
      </c>
      <c r="F22">
        <v>800</v>
      </c>
      <c r="G22" s="5">
        <v>47.73</v>
      </c>
      <c r="H22" s="5">
        <v>1.52</v>
      </c>
      <c r="I22" s="5">
        <v>14.93</v>
      </c>
      <c r="J22" s="5">
        <v>10.18</v>
      </c>
      <c r="K22" s="5">
        <v>0.19</v>
      </c>
      <c r="L22" s="5">
        <v>7.02</v>
      </c>
      <c r="M22" s="5">
        <v>12.28</v>
      </c>
      <c r="N22" s="5">
        <v>2.61</v>
      </c>
      <c r="O22" s="5">
        <v>1.17</v>
      </c>
      <c r="P22" s="5">
        <v>0.33</v>
      </c>
      <c r="Q22" s="5">
        <v>2.5</v>
      </c>
      <c r="R22" s="6"/>
    </row>
    <row r="23" spans="1:18" x14ac:dyDescent="0.2">
      <c r="A23" s="9" t="s">
        <v>31</v>
      </c>
      <c r="B23" t="s">
        <v>24</v>
      </c>
      <c r="C23" s="11">
        <v>7</v>
      </c>
      <c r="D23" s="4" t="str">
        <f>IF(G23&gt;45, IF(G23&lt;52, IF((N23+O23)&lt;5,"basalt","alkali basalt")),IF(G23&lt;57,IF((N23+O23)&lt;6,"basaltic andesite","alkali intermediate"), IF((N23+O23)&lt;3, "picro-basalt","basanite")))</f>
        <v>basalt</v>
      </c>
      <c r="E23">
        <v>1090</v>
      </c>
      <c r="F23">
        <v>800</v>
      </c>
      <c r="G23" s="5">
        <v>47.82</v>
      </c>
      <c r="H23" s="5">
        <v>1.49</v>
      </c>
      <c r="I23" s="5">
        <v>15</v>
      </c>
      <c r="J23" s="5">
        <v>10.08</v>
      </c>
      <c r="K23" s="5">
        <v>0.21</v>
      </c>
      <c r="L23" s="5">
        <v>6.46</v>
      </c>
      <c r="M23" s="5">
        <v>12.18</v>
      </c>
      <c r="N23" s="5">
        <v>2.62</v>
      </c>
      <c r="O23" s="5">
        <v>1.21</v>
      </c>
      <c r="P23" s="5">
        <v>0.32</v>
      </c>
      <c r="Q23" s="5">
        <v>3.1</v>
      </c>
      <c r="R23" s="6"/>
    </row>
    <row r="24" spans="1:18" x14ac:dyDescent="0.2">
      <c r="A24" s="9" t="s">
        <v>53</v>
      </c>
      <c r="B24" t="s">
        <v>20</v>
      </c>
      <c r="C24" s="9">
        <v>22</v>
      </c>
      <c r="D24" s="4" t="str">
        <f>IF(G24&gt;45, IF(G24&lt;52, IF((N24+O24)&lt;5,"basalt","alkali basalt")),IF(G24&lt;57,IF((N24+O24)&lt;6,"basaltic andesite","alkali intermediate"), IF((N24+O24)&lt;3, "picro-basalt","basanite")))</f>
        <v>basalt</v>
      </c>
      <c r="E24">
        <v>1250</v>
      </c>
      <c r="F24">
        <v>1000</v>
      </c>
      <c r="G24" s="5">
        <v>50.17</v>
      </c>
      <c r="H24" s="5">
        <v>0.92009200920092016</v>
      </c>
      <c r="I24" s="5">
        <v>18.281828182818284</v>
      </c>
      <c r="J24" s="5">
        <v>9.3709370937093706</v>
      </c>
      <c r="K24" s="5">
        <v>0.17001700170017003</v>
      </c>
      <c r="L24" s="5">
        <v>7.0007000700070012</v>
      </c>
      <c r="M24" s="5">
        <v>11.371137113711372</v>
      </c>
      <c r="N24" s="5">
        <v>2.3302330233023305</v>
      </c>
      <c r="O24" s="5">
        <v>0.23002300230023004</v>
      </c>
      <c r="P24" s="5">
        <v>0.15001500150015001</v>
      </c>
      <c r="Q24" s="5">
        <v>2.97</v>
      </c>
      <c r="R24" s="6"/>
    </row>
    <row r="25" spans="1:18" x14ac:dyDescent="0.2">
      <c r="A25" s="9" t="s">
        <v>23</v>
      </c>
      <c r="B25" t="s">
        <v>20</v>
      </c>
      <c r="C25" s="9">
        <v>22</v>
      </c>
      <c r="D25" s="4" t="str">
        <f>IF(G25&gt;45, IF(G25&lt;52, IF((N25+O25)&lt;5,"basalt","alkali basalt")),IF(G25&lt;57,IF((N25+O25)&lt;6,"basaltic andesite","alkali intermediate"), IF((N25+O25)&lt;3, "picro-basalt","basanite")))</f>
        <v>basalt</v>
      </c>
      <c r="E25">
        <v>1250</v>
      </c>
      <c r="F25">
        <v>1000</v>
      </c>
      <c r="G25" s="5">
        <v>50.17</v>
      </c>
      <c r="H25" s="5">
        <v>0.92009200920092016</v>
      </c>
      <c r="I25" s="5">
        <v>18.281828182818284</v>
      </c>
      <c r="J25" s="5">
        <v>9.3709370937093706</v>
      </c>
      <c r="K25" s="5">
        <v>0.17001700170017003</v>
      </c>
      <c r="L25" s="5">
        <v>7.0007000700070012</v>
      </c>
      <c r="M25" s="5">
        <v>11.371137113711372</v>
      </c>
      <c r="N25" s="5">
        <v>2.3302330233023305</v>
      </c>
      <c r="O25" s="5">
        <v>0.23002300230023004</v>
      </c>
      <c r="P25" s="5">
        <v>0.15001500150015001</v>
      </c>
      <c r="Q25" s="5">
        <v>3.3106770459311177</v>
      </c>
      <c r="R25" s="6"/>
    </row>
    <row r="26" spans="1:18" x14ac:dyDescent="0.2">
      <c r="A26" s="9" t="s">
        <v>39</v>
      </c>
      <c r="B26" t="s">
        <v>21</v>
      </c>
      <c r="C26" s="11">
        <v>6</v>
      </c>
      <c r="D26" s="4" t="str">
        <f>IF(G26&gt;45, IF(G26&lt;52, IF((N26+O26)&lt;5,"basalt","alkali basalt")),IF(G26&lt;57,IF((N26+O26)&lt;6,"basaltic andesite","alkali intermediate"), IF((N26+O26)&lt;3, "picro-basalt","basanite")))</f>
        <v>basalt</v>
      </c>
      <c r="E26">
        <v>1200</v>
      </c>
      <c r="F26">
        <v>1013</v>
      </c>
      <c r="G26" s="5">
        <v>49.4</v>
      </c>
      <c r="H26" s="5">
        <v>0.8</v>
      </c>
      <c r="I26" s="5">
        <v>15.8</v>
      </c>
      <c r="J26" s="5">
        <v>7.64</v>
      </c>
      <c r="K26" s="5">
        <v>0.2</v>
      </c>
      <c r="L26" s="5">
        <v>8</v>
      </c>
      <c r="M26" s="5">
        <v>12.7</v>
      </c>
      <c r="N26" s="5">
        <v>2.2999999999999998</v>
      </c>
      <c r="O26" s="5">
        <v>1.9</v>
      </c>
      <c r="P26" s="5">
        <v>0.4</v>
      </c>
      <c r="Q26" s="5">
        <v>3.14</v>
      </c>
      <c r="R26" s="6"/>
    </row>
    <row r="27" spans="1:18" x14ac:dyDescent="0.2">
      <c r="A27" s="9">
        <v>122</v>
      </c>
      <c r="B27" t="s">
        <v>16</v>
      </c>
      <c r="C27" s="11">
        <v>5</v>
      </c>
      <c r="D27" s="4" t="str">
        <f>IF(G27&gt;45, IF(G27&lt;52, IF((N27+O27)&lt;5,"basalt","alkali basalt")),IF(G27&lt;57,IF((N27+O27)&lt;6,"basaltic andesite","alkali intermediate"), IF((N27+O27)&lt;3, "picro-basalt","basanite")))</f>
        <v>basalt</v>
      </c>
      <c r="E27">
        <v>1200</v>
      </c>
      <c r="F27">
        <v>1019</v>
      </c>
      <c r="G27" s="5">
        <v>49.64</v>
      </c>
      <c r="H27" s="5">
        <v>0.87</v>
      </c>
      <c r="I27" s="5">
        <v>16.07</v>
      </c>
      <c r="J27" s="5">
        <v>8.6300000000000008</v>
      </c>
      <c r="K27" s="5">
        <v>0.15</v>
      </c>
      <c r="L27" s="5">
        <v>9.76</v>
      </c>
      <c r="M27" s="5">
        <v>12.44</v>
      </c>
      <c r="N27" s="5">
        <v>2.2799999999999998</v>
      </c>
      <c r="O27" s="5">
        <v>0.08</v>
      </c>
      <c r="P27" s="5">
        <v>0.08</v>
      </c>
      <c r="Q27" s="5">
        <v>3.05</v>
      </c>
      <c r="R27" s="6"/>
    </row>
    <row r="28" spans="1:18" x14ac:dyDescent="0.2">
      <c r="A28" s="9">
        <v>24</v>
      </c>
      <c r="B28" t="s">
        <v>17</v>
      </c>
      <c r="C28" s="11">
        <v>5</v>
      </c>
      <c r="D28" s="4" t="str">
        <f>IF(G28&gt;45, IF(G28&lt;52, IF((N28+O28)&lt;5,"basalt","alkali basalt")),IF(G28&lt;57,IF((N28+O28)&lt;6,"basaltic andesite","alkali intermediate"), IF((N28+O28)&lt;3, "picro-basalt","basanite")))</f>
        <v>basalt</v>
      </c>
      <c r="E28">
        <v>1200</v>
      </c>
      <c r="F28">
        <v>1023</v>
      </c>
      <c r="G28" s="5">
        <v>49.64</v>
      </c>
      <c r="H28" s="5">
        <v>0.87</v>
      </c>
      <c r="I28" s="5">
        <v>16.07</v>
      </c>
      <c r="J28" s="5">
        <v>8.6300000000000008</v>
      </c>
      <c r="K28" s="5">
        <v>0.15</v>
      </c>
      <c r="L28" s="5">
        <v>9.76</v>
      </c>
      <c r="M28" s="5">
        <v>12.44</v>
      </c>
      <c r="N28" s="5">
        <v>2.2799999999999998</v>
      </c>
      <c r="O28" s="5">
        <v>0.08</v>
      </c>
      <c r="P28" s="5">
        <v>0.08</v>
      </c>
      <c r="Q28" s="5">
        <v>3.32</v>
      </c>
      <c r="R28" s="6"/>
    </row>
    <row r="29" spans="1:18" x14ac:dyDescent="0.2">
      <c r="A29" s="9">
        <v>204</v>
      </c>
      <c r="B29" t="s">
        <v>26</v>
      </c>
      <c r="C29" s="9">
        <v>2</v>
      </c>
      <c r="D29" s="4" t="str">
        <f>IF(G29&gt;45, IF(G29&lt;52, IF((N29+O29)&lt;5,"basalt","alkali basalt")),IF(G29&lt;57,IF((N29+O29)&lt;6,"basaltic andesite","alkali intermediate"), IF((N29+O29)&lt;3, "picro-basalt","basanite")))</f>
        <v>basalt</v>
      </c>
      <c r="E29">
        <v>1100</v>
      </c>
      <c r="F29">
        <v>1034</v>
      </c>
      <c r="G29" s="5">
        <v>50.71</v>
      </c>
      <c r="H29" s="5">
        <v>1.7</v>
      </c>
      <c r="I29" s="5">
        <v>14.48</v>
      </c>
      <c r="J29" s="5">
        <f>2.73+0.8998*10.34</f>
        <v>12.033932</v>
      </c>
      <c r="K29" s="5">
        <v>0.22</v>
      </c>
      <c r="L29" s="5">
        <v>4.68</v>
      </c>
      <c r="M29" s="5">
        <v>8.83</v>
      </c>
      <c r="N29" s="5">
        <v>3.16</v>
      </c>
      <c r="O29" s="5">
        <v>0.77</v>
      </c>
      <c r="P29" s="5">
        <v>0.36</v>
      </c>
      <c r="Q29" s="5">
        <v>3.09</v>
      </c>
    </row>
    <row r="30" spans="1:18" x14ac:dyDescent="0.2">
      <c r="A30" s="9">
        <v>196</v>
      </c>
      <c r="B30" t="s">
        <v>26</v>
      </c>
      <c r="C30" s="9">
        <v>2</v>
      </c>
      <c r="D30" s="4" t="str">
        <f>IF(G30&gt;45, IF(G30&lt;52, IF((N30+O30)&lt;5,"basalt","alkali basalt")),IF(G30&lt;57,IF((N30+O30)&lt;6,"basaltic andesite","alkali intermediate"), IF((N30+O30)&lt;3, "picro-basalt","basanite")))</f>
        <v>basalt</v>
      </c>
      <c r="E30">
        <v>1100</v>
      </c>
      <c r="F30">
        <v>2000</v>
      </c>
      <c r="G30" s="5">
        <v>50.71</v>
      </c>
      <c r="H30" s="5">
        <v>1.7</v>
      </c>
      <c r="I30" s="5">
        <v>14.48</v>
      </c>
      <c r="J30" s="5">
        <f>2.73+0.8998*10.34</f>
        <v>12.033932</v>
      </c>
      <c r="K30" s="5">
        <v>0.22</v>
      </c>
      <c r="L30" s="5">
        <v>4.68</v>
      </c>
      <c r="M30" s="5">
        <v>8.83</v>
      </c>
      <c r="N30" s="5">
        <v>3.16</v>
      </c>
      <c r="O30" s="5">
        <v>0.77</v>
      </c>
      <c r="P30" s="5">
        <v>0.36</v>
      </c>
      <c r="Q30" s="5">
        <v>4.59</v>
      </c>
    </row>
    <row r="31" spans="1:18" x14ac:dyDescent="0.2">
      <c r="A31" s="9" t="s">
        <v>46</v>
      </c>
      <c r="B31" t="s">
        <v>22</v>
      </c>
      <c r="C31" s="11">
        <v>18</v>
      </c>
      <c r="D31" s="4" t="str">
        <f>IF(G31&gt;45, IF(G31&lt;52, IF((N31+O31)&lt;5,"basalt","alkali basalt")),IF(G31&lt;57,IF((N31+O31)&lt;6,"basaltic andesite","alkali intermediate"), IF((N31+O31)&lt;3, "picro-basalt","basanite")))</f>
        <v>basalt</v>
      </c>
      <c r="E31">
        <v>1200</v>
      </c>
      <c r="F31">
        <v>2000</v>
      </c>
      <c r="G31" s="5">
        <v>48.882596824754778</v>
      </c>
      <c r="H31" s="5">
        <v>2.8921023359288096</v>
      </c>
      <c r="I31" s="5">
        <v>14.773991303468501</v>
      </c>
      <c r="J31" s="5">
        <v>13.054909495398928</v>
      </c>
      <c r="K31" s="5">
        <v>0</v>
      </c>
      <c r="L31" s="5">
        <v>6.4718373950854486</v>
      </c>
      <c r="M31" s="5">
        <v>10.992011325715442</v>
      </c>
      <c r="N31" s="5">
        <v>2.6291839417534635</v>
      </c>
      <c r="O31" s="5">
        <v>0.30336737789463042</v>
      </c>
      <c r="P31" s="5">
        <v>0</v>
      </c>
      <c r="Q31" s="5">
        <v>4.67</v>
      </c>
      <c r="R31" s="6"/>
    </row>
    <row r="32" spans="1:18" x14ac:dyDescent="0.2">
      <c r="A32" s="9" t="s">
        <v>52</v>
      </c>
      <c r="B32" t="s">
        <v>20</v>
      </c>
      <c r="C32" s="9">
        <v>22</v>
      </c>
      <c r="D32" s="4" t="str">
        <f>IF(G32&gt;45, IF(G32&lt;52, IF((N32+O32)&lt;5,"basalt","alkali basalt")),IF(G32&lt;57,IF((N32+O32)&lt;6,"basaltic andesite","alkali intermediate"), IF((N32+O32)&lt;3, "picro-basalt","basanite")))</f>
        <v>basalt</v>
      </c>
      <c r="E32">
        <v>1250</v>
      </c>
      <c r="F32">
        <v>2000</v>
      </c>
      <c r="G32" s="5">
        <v>50.17</v>
      </c>
      <c r="H32" s="5">
        <v>0.92009200920092016</v>
      </c>
      <c r="I32" s="5">
        <v>18.281828182818284</v>
      </c>
      <c r="J32" s="5">
        <v>9.3709370937093706</v>
      </c>
      <c r="K32" s="5">
        <v>0.17001700170017003</v>
      </c>
      <c r="L32" s="5">
        <v>7.0007000700070012</v>
      </c>
      <c r="M32" s="5">
        <v>11.371137113711372</v>
      </c>
      <c r="N32" s="5">
        <v>2.3302330233023305</v>
      </c>
      <c r="O32" s="5">
        <v>0.23002300230023004</v>
      </c>
      <c r="P32" s="5">
        <v>0.15001500150015001</v>
      </c>
      <c r="Q32" s="5">
        <v>4.95</v>
      </c>
      <c r="R32" s="6"/>
    </row>
    <row r="33" spans="1:18" x14ac:dyDescent="0.2">
      <c r="A33" s="9">
        <v>23</v>
      </c>
      <c r="B33" t="s">
        <v>17</v>
      </c>
      <c r="C33" s="11">
        <v>5</v>
      </c>
      <c r="D33" s="4" t="str">
        <f>IF(G33&gt;45, IF(G33&lt;52, IF((N33+O33)&lt;5,"basalt","alkali basalt")),IF(G33&lt;57,IF((N33+O33)&lt;6,"basaltic andesite","alkali intermediate"), IF((N33+O33)&lt;3, "picro-basalt","basanite")))</f>
        <v>basalt</v>
      </c>
      <c r="E33">
        <v>1200</v>
      </c>
      <c r="F33">
        <v>2021</v>
      </c>
      <c r="G33" s="5">
        <v>49.64</v>
      </c>
      <c r="H33" s="5">
        <v>0.87</v>
      </c>
      <c r="I33" s="5">
        <v>16.07</v>
      </c>
      <c r="J33" s="5">
        <v>8.6300000000000008</v>
      </c>
      <c r="K33" s="5">
        <v>0.15</v>
      </c>
      <c r="L33" s="5">
        <v>9.76</v>
      </c>
      <c r="M33" s="5">
        <v>12.44</v>
      </c>
      <c r="N33" s="5">
        <v>2.2799999999999998</v>
      </c>
      <c r="O33" s="5">
        <v>0.08</v>
      </c>
      <c r="P33" s="5">
        <v>0.08</v>
      </c>
      <c r="Q33" s="5">
        <v>4.8</v>
      </c>
      <c r="R33" s="6"/>
    </row>
    <row r="34" spans="1:18" x14ac:dyDescent="0.2">
      <c r="A34" s="9">
        <v>126</v>
      </c>
      <c r="B34" t="s">
        <v>16</v>
      </c>
      <c r="C34" s="11">
        <v>5</v>
      </c>
      <c r="D34" s="4" t="str">
        <f>IF(G34&gt;45, IF(G34&lt;52, IF((N34+O34)&lt;5,"basalt","alkali basalt")),IF(G34&lt;57,IF((N34+O34)&lt;6,"basaltic andesite","alkali intermediate"), IF((N34+O34)&lt;3, "picro-basalt","basanite")))</f>
        <v>basalt</v>
      </c>
      <c r="E34">
        <v>1200</v>
      </c>
      <c r="F34">
        <v>2033</v>
      </c>
      <c r="G34" s="5">
        <v>49.64</v>
      </c>
      <c r="H34" s="5">
        <v>0.87</v>
      </c>
      <c r="I34" s="5">
        <v>16.07</v>
      </c>
      <c r="J34" s="5">
        <v>8.6300000000000008</v>
      </c>
      <c r="K34" s="5">
        <v>0.15</v>
      </c>
      <c r="L34" s="5">
        <v>9.76</v>
      </c>
      <c r="M34" s="5">
        <v>12.44</v>
      </c>
      <c r="N34" s="5">
        <v>2.2799999999999998</v>
      </c>
      <c r="O34" s="5">
        <v>0.08</v>
      </c>
      <c r="P34" s="5">
        <v>0.08</v>
      </c>
      <c r="Q34" s="5">
        <v>4.46</v>
      </c>
      <c r="R34" s="6"/>
    </row>
    <row r="35" spans="1:18" x14ac:dyDescent="0.2">
      <c r="A35" s="9" t="s">
        <v>37</v>
      </c>
      <c r="B35" t="s">
        <v>21</v>
      </c>
      <c r="C35" s="11">
        <v>6</v>
      </c>
      <c r="D35" s="4" t="str">
        <f>IF(G35&gt;45, IF(G35&lt;52, IF((N35+O35)&lt;5,"basalt","alkali basalt")),IF(G35&lt;57,IF((N35+O35)&lt;6,"basaltic andesite","alkali intermediate"), IF((N35+O35)&lt;3, "picro-basalt","basanite")))</f>
        <v>basalt</v>
      </c>
      <c r="E35">
        <v>1200</v>
      </c>
      <c r="F35">
        <v>2059</v>
      </c>
      <c r="G35" s="5">
        <v>49.4</v>
      </c>
      <c r="H35" s="5">
        <v>0.8</v>
      </c>
      <c r="I35" s="5">
        <v>15.8</v>
      </c>
      <c r="J35" s="5">
        <v>7.64</v>
      </c>
      <c r="K35" s="5">
        <v>0.2</v>
      </c>
      <c r="L35" s="5">
        <v>8</v>
      </c>
      <c r="M35" s="5">
        <v>12.7</v>
      </c>
      <c r="N35" s="5">
        <v>2.2999999999999998</v>
      </c>
      <c r="O35" s="5">
        <v>1.9</v>
      </c>
      <c r="P35" s="5">
        <v>0.4</v>
      </c>
      <c r="Q35" s="5">
        <v>4.92</v>
      </c>
      <c r="R35" s="6"/>
    </row>
    <row r="36" spans="1:18" x14ac:dyDescent="0.2">
      <c r="A36" s="9" t="s">
        <v>42</v>
      </c>
      <c r="B36" t="s">
        <v>21</v>
      </c>
      <c r="C36" s="11">
        <v>6</v>
      </c>
      <c r="D36" s="4" t="str">
        <f>IF(G36&gt;45, IF(G36&lt;52, IF((N36+O36)&lt;5,"basalt","alkali basalt")),IF(G36&lt;57,IF((N36+O36)&lt;6,"basaltic andesite","alkali intermediate"), IF((N36+O36)&lt;3, "picro-basalt","basanite")))</f>
        <v>basalt</v>
      </c>
      <c r="E36">
        <v>1200</v>
      </c>
      <c r="F36">
        <v>2138</v>
      </c>
      <c r="G36" s="5">
        <v>49.4</v>
      </c>
      <c r="H36" s="5">
        <v>0.8</v>
      </c>
      <c r="I36" s="5">
        <v>15.8</v>
      </c>
      <c r="J36" s="5">
        <v>7.64</v>
      </c>
      <c r="K36" s="5">
        <v>0.2</v>
      </c>
      <c r="L36" s="5">
        <v>8</v>
      </c>
      <c r="M36" s="5">
        <v>12.7</v>
      </c>
      <c r="N36" s="5">
        <v>2.2999999999999998</v>
      </c>
      <c r="O36" s="5">
        <v>1.9</v>
      </c>
      <c r="P36" s="5">
        <v>0.4</v>
      </c>
      <c r="Q36" s="5">
        <v>5.19</v>
      </c>
      <c r="R36" s="6"/>
    </row>
    <row r="37" spans="1:18" x14ac:dyDescent="0.2">
      <c r="A37" s="9" t="s">
        <v>43</v>
      </c>
      <c r="B37" t="s">
        <v>21</v>
      </c>
      <c r="C37" s="11">
        <v>6</v>
      </c>
      <c r="D37" s="4" t="str">
        <f>IF(G37&gt;45, IF(G37&lt;52, IF((N37+O37)&lt;5,"basalt","alkali basalt")),IF(G37&lt;57,IF((N37+O37)&lt;6,"basaltic andesite","alkali intermediate"), IF((N37+O37)&lt;3, "picro-basalt","basanite")))</f>
        <v>basalt</v>
      </c>
      <c r="E37">
        <v>1200</v>
      </c>
      <c r="F37">
        <v>2760</v>
      </c>
      <c r="G37" s="5">
        <v>49.4</v>
      </c>
      <c r="H37" s="5">
        <v>0.8</v>
      </c>
      <c r="I37" s="5">
        <v>15.8</v>
      </c>
      <c r="J37" s="5">
        <v>7.64</v>
      </c>
      <c r="K37" s="5">
        <v>0.2</v>
      </c>
      <c r="L37" s="5">
        <v>8</v>
      </c>
      <c r="M37" s="5">
        <v>12.7</v>
      </c>
      <c r="N37" s="5">
        <v>2.2999999999999998</v>
      </c>
      <c r="O37" s="5">
        <v>1.9</v>
      </c>
      <c r="P37" s="5">
        <v>0.4</v>
      </c>
      <c r="Q37" s="5">
        <v>5.99</v>
      </c>
      <c r="R37" s="6"/>
    </row>
    <row r="38" spans="1:18" x14ac:dyDescent="0.2">
      <c r="A38" s="9">
        <v>203</v>
      </c>
      <c r="B38" t="s">
        <v>26</v>
      </c>
      <c r="C38" s="9">
        <v>2</v>
      </c>
      <c r="D38" s="4" t="str">
        <f>IF(G38&gt;45, IF(G38&lt;52, IF((N38+O38)&lt;5,"basalt","alkali basalt")),IF(G38&lt;57,IF((N38+O38)&lt;6,"basaltic andesite","alkali intermediate"), IF((N38+O38)&lt;3, "picro-basalt","basanite")))</f>
        <v>basalt</v>
      </c>
      <c r="E38">
        <v>1100</v>
      </c>
      <c r="F38">
        <v>3000</v>
      </c>
      <c r="G38" s="5">
        <v>50.71</v>
      </c>
      <c r="H38" s="5">
        <v>1.7</v>
      </c>
      <c r="I38" s="5">
        <v>14.48</v>
      </c>
      <c r="J38" s="5">
        <f>2.73+0.8998*10.34</f>
        <v>12.033932</v>
      </c>
      <c r="K38" s="5">
        <v>0.22</v>
      </c>
      <c r="L38" s="5">
        <v>4.68</v>
      </c>
      <c r="M38" s="5">
        <v>8.83</v>
      </c>
      <c r="N38" s="5">
        <v>3.16</v>
      </c>
      <c r="O38" s="5">
        <v>0.77</v>
      </c>
      <c r="P38" s="5">
        <v>0.36</v>
      </c>
      <c r="Q38" s="5">
        <v>5.93</v>
      </c>
    </row>
    <row r="39" spans="1:18" x14ac:dyDescent="0.2">
      <c r="A39" s="9" t="s">
        <v>51</v>
      </c>
      <c r="B39" t="s">
        <v>20</v>
      </c>
      <c r="C39" s="9">
        <v>22</v>
      </c>
      <c r="D39" s="4" t="str">
        <f>IF(G39&gt;45, IF(G39&lt;52, IF((N39+O39)&lt;5,"basalt","alkali basalt")),IF(G39&lt;57,IF((N39+O39)&lt;6,"basaltic andesite","alkali intermediate"), IF((N39+O39)&lt;3, "picro-basalt","basanite")))</f>
        <v>basalt</v>
      </c>
      <c r="E39">
        <v>1250</v>
      </c>
      <c r="F39">
        <v>3000</v>
      </c>
      <c r="G39" s="5">
        <v>50.17</v>
      </c>
      <c r="H39" s="5">
        <v>0.92009200920092016</v>
      </c>
      <c r="I39" s="5">
        <v>18.281828182818284</v>
      </c>
      <c r="J39" s="5">
        <v>9.3709370937093706</v>
      </c>
      <c r="K39" s="5">
        <v>0.17001700170017003</v>
      </c>
      <c r="L39" s="5">
        <v>7.0007000700070012</v>
      </c>
      <c r="M39" s="5">
        <v>11.371137113711372</v>
      </c>
      <c r="N39" s="5">
        <v>2.3302330233023305</v>
      </c>
      <c r="O39" s="5">
        <v>0.23002300230023004</v>
      </c>
      <c r="P39" s="5">
        <v>0.15001500150015001</v>
      </c>
      <c r="Q39" s="5">
        <v>6.25</v>
      </c>
      <c r="R39" s="6"/>
    </row>
    <row r="40" spans="1:18" x14ac:dyDescent="0.2">
      <c r="A40" s="9">
        <v>27</v>
      </c>
      <c r="B40" t="s">
        <v>17</v>
      </c>
      <c r="C40" s="11">
        <v>5</v>
      </c>
      <c r="D40" s="4" t="str">
        <f>IF(G40&gt;45, IF(G40&lt;52, IF((N40+O40)&lt;5,"basalt","alkali basalt")),IF(G40&lt;57,IF((N40+O40)&lt;6,"basaltic andesite","alkali intermediate"), IF((N40+O40)&lt;3, "picro-basalt","basanite")))</f>
        <v>basalt</v>
      </c>
      <c r="E40">
        <v>1200</v>
      </c>
      <c r="F40">
        <v>3043</v>
      </c>
      <c r="G40" s="5">
        <v>49.64</v>
      </c>
      <c r="H40" s="5">
        <v>0.87</v>
      </c>
      <c r="I40" s="5">
        <v>16.07</v>
      </c>
      <c r="J40" s="5">
        <v>8.6300000000000008</v>
      </c>
      <c r="K40" s="5">
        <v>0.15</v>
      </c>
      <c r="L40" s="5">
        <v>9.76</v>
      </c>
      <c r="M40" s="5">
        <v>12.44</v>
      </c>
      <c r="N40" s="5">
        <v>2.2799999999999998</v>
      </c>
      <c r="O40" s="5">
        <v>0.08</v>
      </c>
      <c r="P40" s="5">
        <v>0.08</v>
      </c>
      <c r="Q40" s="5">
        <v>6.27</v>
      </c>
      <c r="R40" s="6"/>
    </row>
    <row r="41" spans="1:18" x14ac:dyDescent="0.2">
      <c r="A41" s="9" t="s">
        <v>44</v>
      </c>
      <c r="B41" t="s">
        <v>21</v>
      </c>
      <c r="C41" s="11">
        <v>6</v>
      </c>
      <c r="D41" s="4" t="str">
        <f>IF(G41&gt;45, IF(G41&lt;52, IF((N41+O41)&lt;5,"basalt","alkali basalt")),IF(G41&lt;57,IF((N41+O41)&lt;6,"basaltic andesite","alkali intermediate"), IF((N41+O41)&lt;3, "picro-basalt","basanite")))</f>
        <v>basalt</v>
      </c>
      <c r="E41">
        <v>1200</v>
      </c>
      <c r="F41">
        <v>3842</v>
      </c>
      <c r="G41" s="5">
        <v>49.4</v>
      </c>
      <c r="H41" s="5">
        <v>0.8</v>
      </c>
      <c r="I41" s="5">
        <v>15.8</v>
      </c>
      <c r="J41" s="5">
        <v>7.64</v>
      </c>
      <c r="K41" s="5">
        <v>0.2</v>
      </c>
      <c r="L41" s="5">
        <v>8</v>
      </c>
      <c r="M41" s="5">
        <v>12.7</v>
      </c>
      <c r="N41" s="5">
        <v>2.2999999999999998</v>
      </c>
      <c r="O41" s="5">
        <v>1.9</v>
      </c>
      <c r="P41" s="5">
        <v>0.4</v>
      </c>
      <c r="Q41" s="5">
        <v>7.74</v>
      </c>
      <c r="R41" s="6"/>
    </row>
    <row r="42" spans="1:18" x14ac:dyDescent="0.2">
      <c r="A42" s="9">
        <v>200</v>
      </c>
      <c r="B42" t="s">
        <v>26</v>
      </c>
      <c r="C42" s="9">
        <v>2</v>
      </c>
      <c r="D42" s="4" t="str">
        <f>IF(G42&gt;45, IF(G42&lt;52, IF((N42+O42)&lt;5,"basalt","alkali basalt")),IF(G42&lt;57,IF((N42+O42)&lt;6,"basaltic andesite","alkali intermediate"), IF((N42+O42)&lt;3, "picro-basalt","basanite")))</f>
        <v>basalt</v>
      </c>
      <c r="E42">
        <v>1100</v>
      </c>
      <c r="F42">
        <v>4000</v>
      </c>
      <c r="G42" s="5">
        <v>50.71</v>
      </c>
      <c r="H42" s="5">
        <v>1.7</v>
      </c>
      <c r="I42" s="5">
        <v>14.48</v>
      </c>
      <c r="J42" s="5">
        <f>2.73+0.8998*10.34</f>
        <v>12.033932</v>
      </c>
      <c r="K42" s="5">
        <v>0.22</v>
      </c>
      <c r="L42" s="5">
        <v>4.68</v>
      </c>
      <c r="M42" s="5">
        <v>8.83</v>
      </c>
      <c r="N42" s="5">
        <v>3.16</v>
      </c>
      <c r="O42" s="5">
        <v>0.77</v>
      </c>
      <c r="P42" s="5">
        <v>0.36</v>
      </c>
      <c r="Q42" s="5">
        <v>7.3</v>
      </c>
    </row>
    <row r="43" spans="1:18" x14ac:dyDescent="0.2">
      <c r="A43" s="9" t="s">
        <v>18</v>
      </c>
      <c r="B43" t="s">
        <v>19</v>
      </c>
      <c r="C43" s="9">
        <v>9</v>
      </c>
      <c r="D43" s="4" t="str">
        <f>IF(G43&gt;45, IF(G43&lt;52, IF((N43+O43)&lt;5,"basalt","alkali basalt")),IF(G43&lt;57,IF((N43+O43)&lt;6,"basaltic andesite","alkali intermediate"), IF((N43+O43)&lt;3, "picro-basalt","basanite")))</f>
        <v>basalt</v>
      </c>
      <c r="E43">
        <v>1200</v>
      </c>
      <c r="F43">
        <v>5000</v>
      </c>
      <c r="G43" s="5">
        <v>48.456575682382137</v>
      </c>
      <c r="H43" s="5">
        <v>0</v>
      </c>
      <c r="I43" s="5">
        <v>20.843672456575682</v>
      </c>
      <c r="J43" s="5">
        <v>0</v>
      </c>
      <c r="K43" s="5">
        <v>0</v>
      </c>
      <c r="L43" s="5">
        <v>7.3945409429280398</v>
      </c>
      <c r="M43" s="5">
        <v>23.23573200992556</v>
      </c>
      <c r="N43" s="5">
        <v>6.9478908188585611E-2</v>
      </c>
      <c r="O43" s="5">
        <v>0</v>
      </c>
      <c r="P43" s="5">
        <v>0</v>
      </c>
      <c r="Q43" s="5">
        <v>7.57</v>
      </c>
      <c r="R43" s="6"/>
    </row>
    <row r="44" spans="1:18" x14ac:dyDescent="0.2">
      <c r="A44" s="9" t="s">
        <v>50</v>
      </c>
      <c r="B44" t="s">
        <v>20</v>
      </c>
      <c r="C44" s="9">
        <v>22</v>
      </c>
      <c r="D44" s="4" t="str">
        <f>IF(G44&gt;45, IF(G44&lt;52, IF((N44+O44)&lt;5,"basalt","alkali basalt")),IF(G44&lt;57,IF((N44+O44)&lt;6,"basaltic andesite","alkali intermediate"), IF((N44+O44)&lt;3, "picro-basalt","basanite")))</f>
        <v>basalt</v>
      </c>
      <c r="E44">
        <v>1250</v>
      </c>
      <c r="F44">
        <v>5000</v>
      </c>
      <c r="G44" s="5">
        <v>50.17</v>
      </c>
      <c r="H44" s="5">
        <v>0.92009200920092016</v>
      </c>
      <c r="I44" s="5">
        <v>18.281828182818284</v>
      </c>
      <c r="J44" s="5">
        <v>9.3709370937093706</v>
      </c>
      <c r="K44" s="5">
        <v>0.17001700170017003</v>
      </c>
      <c r="L44" s="5">
        <v>7.0007000700070012</v>
      </c>
      <c r="M44" s="5">
        <v>11.371137113711372</v>
      </c>
      <c r="N44" s="5">
        <v>2.3302330233023305</v>
      </c>
      <c r="O44" s="5">
        <v>0.23002300230023004</v>
      </c>
      <c r="P44" s="5">
        <v>0.15001500150015001</v>
      </c>
      <c r="Q44" s="5">
        <v>8.81</v>
      </c>
      <c r="R44" s="6"/>
    </row>
    <row r="45" spans="1:18" x14ac:dyDescent="0.2">
      <c r="A45" s="9">
        <v>26</v>
      </c>
      <c r="B45" t="s">
        <v>16</v>
      </c>
      <c r="C45" s="11">
        <v>5</v>
      </c>
      <c r="D45" s="4" t="str">
        <f>IF(G45&gt;45, IF(G45&lt;52, IF((N45+O45)&lt;5,"basalt","alkali basalt")),IF(G45&lt;57,IF((N45+O45)&lt;6,"basaltic andesite","alkali intermediate"), IF((N45+O45)&lt;3, "picro-basalt","basanite")))</f>
        <v>basalt</v>
      </c>
      <c r="E45">
        <v>1200</v>
      </c>
      <c r="F45">
        <v>5009</v>
      </c>
      <c r="G45" s="5">
        <v>49.64</v>
      </c>
      <c r="H45" s="5">
        <v>0.87</v>
      </c>
      <c r="I45" s="5">
        <v>16.07</v>
      </c>
      <c r="J45" s="5">
        <v>8.6300000000000008</v>
      </c>
      <c r="K45" s="5">
        <v>0.15</v>
      </c>
      <c r="L45" s="5">
        <v>9.76</v>
      </c>
      <c r="M45" s="5">
        <v>12.44</v>
      </c>
      <c r="N45" s="5">
        <v>2.2799999999999998</v>
      </c>
      <c r="O45" s="5">
        <v>0.08</v>
      </c>
      <c r="P45" s="5">
        <v>0.08</v>
      </c>
      <c r="Q45" s="5">
        <v>9.3800000000000008</v>
      </c>
      <c r="R45" s="6"/>
    </row>
    <row r="46" spans="1:18" x14ac:dyDescent="0.2">
      <c r="A46" s="9">
        <v>26</v>
      </c>
      <c r="B46" t="s">
        <v>17</v>
      </c>
      <c r="C46" s="11">
        <v>5</v>
      </c>
      <c r="D46" s="4" t="str">
        <f>IF(G46&gt;45, IF(G46&lt;52, IF((N46+O46)&lt;5,"basalt","alkali basalt")),IF(G46&lt;57,IF((N46+O46)&lt;6,"basaltic andesite","alkali intermediate"), IF((N46+O46)&lt;3, "picro-basalt","basanite")))</f>
        <v>basalt</v>
      </c>
      <c r="E46">
        <v>1200</v>
      </c>
      <c r="F46">
        <v>5009</v>
      </c>
      <c r="G46" s="5">
        <v>49.64</v>
      </c>
      <c r="H46" s="5">
        <v>0.87</v>
      </c>
      <c r="I46" s="5">
        <v>16.07</v>
      </c>
      <c r="J46" s="5">
        <v>8.6300000000000008</v>
      </c>
      <c r="K46" s="5">
        <v>0.15</v>
      </c>
      <c r="L46" s="5">
        <v>9.76</v>
      </c>
      <c r="M46" s="5">
        <v>12.44</v>
      </c>
      <c r="N46" s="5">
        <v>2.2799999999999998</v>
      </c>
      <c r="O46" s="5">
        <v>0.08</v>
      </c>
      <c r="P46" s="5">
        <v>0.08</v>
      </c>
      <c r="Q46" s="5">
        <v>9.3800000000000008</v>
      </c>
      <c r="R46" s="6"/>
    </row>
    <row r="47" spans="1:18" x14ac:dyDescent="0.2">
      <c r="A47" s="9">
        <v>209</v>
      </c>
      <c r="B47" t="s">
        <v>26</v>
      </c>
      <c r="C47" s="9">
        <v>2</v>
      </c>
      <c r="D47" s="4" t="str">
        <f>IF(G47&gt;45, IF(G47&lt;52, IF((N47+O47)&lt;5,"basalt","alkali basalt")),IF(G47&lt;57,IF((N47+O47)&lt;6,"basaltic andesite","alkali intermediate"), IF((N47+O47)&lt;3, "picro-basalt","basanite")))</f>
        <v>basalt</v>
      </c>
      <c r="E47">
        <v>1100</v>
      </c>
      <c r="F47">
        <v>5343</v>
      </c>
      <c r="G47" s="5">
        <v>50.71</v>
      </c>
      <c r="H47" s="5">
        <v>1.7</v>
      </c>
      <c r="I47" s="5">
        <v>14.48</v>
      </c>
      <c r="J47" s="5">
        <f>2.73+0.8998*10.34</f>
        <v>12.033932</v>
      </c>
      <c r="K47" s="5">
        <v>0.22</v>
      </c>
      <c r="L47" s="5">
        <v>4.68</v>
      </c>
      <c r="M47" s="5">
        <v>8.83</v>
      </c>
      <c r="N47" s="5">
        <v>3.16</v>
      </c>
      <c r="O47" s="5">
        <v>0.77</v>
      </c>
      <c r="P47" s="5">
        <v>0.36</v>
      </c>
      <c r="Q47" s="5">
        <v>8.51</v>
      </c>
    </row>
    <row r="48" spans="1:18" x14ac:dyDescent="0.2">
      <c r="A48" s="9">
        <v>205</v>
      </c>
      <c r="B48" t="s">
        <v>26</v>
      </c>
      <c r="C48" s="9">
        <v>2</v>
      </c>
      <c r="D48" s="4" t="str">
        <f>IF(G48&gt;45, IF(G48&lt;52, IF((N48+O48)&lt;5,"basalt","alkali basalt")),IF(G48&lt;57,IF((N48+O48)&lt;6,"basaltic andesite","alkali intermediate"), IF((N48+O48)&lt;3, "picro-basalt","basanite")))</f>
        <v>basalt</v>
      </c>
      <c r="E48">
        <v>1100</v>
      </c>
      <c r="F48">
        <v>6067</v>
      </c>
      <c r="G48" s="5">
        <v>50.71</v>
      </c>
      <c r="H48" s="5">
        <v>1.7</v>
      </c>
      <c r="I48" s="5">
        <v>14.48</v>
      </c>
      <c r="J48" s="5">
        <f>2.73+0.8998*10.34</f>
        <v>12.033932</v>
      </c>
      <c r="K48" s="5">
        <v>0.22</v>
      </c>
      <c r="L48" s="5">
        <v>4.68</v>
      </c>
      <c r="M48" s="5">
        <v>8.83</v>
      </c>
      <c r="N48" s="5">
        <v>3.16</v>
      </c>
      <c r="O48" s="5">
        <v>0.77</v>
      </c>
      <c r="P48" s="5">
        <v>0.36</v>
      </c>
      <c r="Q48" s="5">
        <v>9.3699999999999992</v>
      </c>
    </row>
  </sheetData>
  <autoFilter ref="A1:R45" xr:uid="{BAD63B3E-50DF-364F-BB29-CD6A7E46018A}">
    <sortState xmlns:xlrd2="http://schemas.microsoft.com/office/spreadsheetml/2017/richdata2" ref="A2:R48">
      <sortCondition ref="F1:F48"/>
    </sortState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Iacovino, Kayla</dc:creator>
  <cp:lastModifiedBy>Kayla Iacovino</cp:lastModifiedBy>
  <dcterms:created xsi:type="dcterms:W3CDTF">2025-09-07T04:00:47Z</dcterms:created>
  <dcterms:modified xsi:type="dcterms:W3CDTF">2026-04-13T23:05:45Z</dcterms:modified>
</cp:coreProperties>
</file>