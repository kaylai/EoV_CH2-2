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7"/>
  <workbookPr/>
  <mc:AlternateContent xmlns:mc="http://schemas.openxmlformats.org/markup-compatibility/2006">
    <mc:Choice Requires="x15">
      <x15ac:absPath xmlns:x15ac="http://schemas.microsoft.com/office/spreadsheetml/2010/11/ac" url="/Users/kiacovino/PythonGit/EoV_CH2-2/figures/Figure2/data/experiments/"/>
    </mc:Choice>
  </mc:AlternateContent>
  <xr:revisionPtr revIDLastSave="0" documentId="13_ncr:1_{20668CDF-7EEE-9949-B8FD-E6DAA1B80D2D}" xr6:coauthVersionLast="47" xr6:coauthVersionMax="47" xr10:uidLastSave="{00000000-0000-0000-0000-000000000000}"/>
  <bookViews>
    <workbookView xWindow="26940" yWindow="620" windowWidth="33220" windowHeight="33220" xr2:uid="{00000000-000D-0000-FFFF-FFFF00000000}"/>
  </bookViews>
  <sheets>
    <sheet name="Mixed H2O-CO2" sheetId="1" r:id="rId1"/>
  </sheets>
  <definedNames>
    <definedName name="_xlnm._FilterDatabase" localSheetId="0" hidden="1">'Mixed H2O-CO2'!$A$1:$T$32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" l="1"/>
  <c r="T5" i="1"/>
  <c r="T4" i="1"/>
  <c r="T3" i="1"/>
  <c r="T7" i="1"/>
  <c r="D7" i="1"/>
  <c r="D3" i="1"/>
  <c r="D4" i="1"/>
  <c r="D5" i="1"/>
  <c r="D6" i="1"/>
  <c r="T2" i="1"/>
  <c r="D2" i="1"/>
  <c r="D23" i="1"/>
  <c r="T23" i="1"/>
  <c r="T24" i="1"/>
  <c r="T17" i="1"/>
  <c r="T18" i="1"/>
  <c r="D24" i="1"/>
  <c r="D17" i="1"/>
  <c r="D18" i="1"/>
  <c r="T38" i="1"/>
  <c r="T31" i="1"/>
  <c r="T30" i="1"/>
  <c r="T20" i="1"/>
  <c r="T25" i="1"/>
  <c r="T22" i="1"/>
  <c r="T27" i="1"/>
  <c r="T28" i="1"/>
  <c r="T26" i="1"/>
  <c r="T36" i="1"/>
  <c r="T35" i="1"/>
  <c r="T32" i="1"/>
  <c r="T33" i="1"/>
  <c r="T21" i="1"/>
  <c r="T37" i="1"/>
  <c r="T15" i="1"/>
  <c r="T13" i="1"/>
  <c r="T8" i="1"/>
  <c r="T16" i="1"/>
  <c r="T10" i="1"/>
  <c r="T14" i="1"/>
  <c r="T11" i="1"/>
  <c r="T9" i="1"/>
  <c r="T12" i="1"/>
  <c r="T40" i="1"/>
  <c r="T43" i="1"/>
  <c r="T39" i="1"/>
  <c r="T44" i="1"/>
  <c r="T42" i="1"/>
  <c r="T41" i="1"/>
  <c r="T19" i="1"/>
  <c r="T29" i="1"/>
  <c r="T34" i="1"/>
  <c r="D19" i="1"/>
  <c r="D29" i="1"/>
  <c r="D34" i="1"/>
  <c r="D38" i="1"/>
  <c r="D31" i="1"/>
  <c r="D30" i="1"/>
  <c r="D20" i="1"/>
  <c r="D25" i="1"/>
  <c r="D22" i="1"/>
  <c r="D36" i="1"/>
  <c r="D35" i="1"/>
  <c r="D32" i="1"/>
  <c r="D33" i="1"/>
  <c r="D21" i="1"/>
  <c r="D37" i="1"/>
  <c r="D15" i="1"/>
  <c r="D13" i="1"/>
  <c r="D8" i="1"/>
  <c r="D16" i="1"/>
  <c r="D10" i="1"/>
  <c r="D14" i="1"/>
  <c r="D11" i="1"/>
  <c r="D9" i="1"/>
  <c r="D12" i="1"/>
  <c r="D40" i="1"/>
  <c r="D43" i="1"/>
  <c r="D39" i="1"/>
  <c r="D44" i="1"/>
  <c r="D42" i="1"/>
  <c r="D41" i="1"/>
</calcChain>
</file>

<file path=xl/sharedStrings.xml><?xml version="1.0" encoding="utf-8"?>
<sst xmlns="http://schemas.openxmlformats.org/spreadsheetml/2006/main" count="112" uniqueCount="72">
  <si>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</si>
  <si>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</si>
  <si>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</si>
  <si>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</si>
  <si>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</si>
  <si>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</si>
  <si>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</si>
  <si>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</si>
  <si>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</si>
  <si>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P2O5</t>
  </si>
  <si>
    <t>H2O</t>
  </si>
  <si>
    <t>CO2</t>
  </si>
  <si>
    <t>Citation</t>
  </si>
  <si>
    <t>Simplified Rock Type</t>
  </si>
  <si>
    <t>T_C</t>
  </si>
  <si>
    <t>P_bar</t>
  </si>
  <si>
    <t>Total Alkalis</t>
  </si>
  <si>
    <t>Shishkina et al 2010</t>
  </si>
  <si>
    <t>Lesne et al 2011</t>
  </si>
  <si>
    <t>Botcharnikov et al 2005</t>
  </si>
  <si>
    <t>Behrens et al 2009</t>
  </si>
  <si>
    <t>Iacono-Marziano et al 2008</t>
  </si>
  <si>
    <t>Allison et al. 2019</t>
  </si>
  <si>
    <t>Label</t>
  </si>
  <si>
    <t>P_bar_binned</t>
  </si>
  <si>
    <t>Allison2019_ET-8</t>
  </si>
  <si>
    <t>Allison2019_Z-32</t>
  </si>
  <si>
    <t>Allison2019_VS-1</t>
  </si>
  <si>
    <t>Allison2019_Z-22</t>
  </si>
  <si>
    <t>Allison2019_SU-1</t>
  </si>
  <si>
    <t>Allison2019_ST-3</t>
  </si>
  <si>
    <t>Allison2019_Z-33</t>
  </si>
  <si>
    <t>Allison2019_ST-4</t>
  </si>
  <si>
    <t>Allison2019_SB-4</t>
  </si>
  <si>
    <t>Allison2019_SU-6</t>
  </si>
  <si>
    <t>Allison2019_SU-2</t>
  </si>
  <si>
    <t>Allison2019_ET-5</t>
  </si>
  <si>
    <t>Allison2019_EB-5</t>
  </si>
  <si>
    <t>Allison2019_Z-15</t>
  </si>
  <si>
    <t>Allison2019_VS-2</t>
  </si>
  <si>
    <t>Reference Number</t>
  </si>
  <si>
    <t>B8</t>
  </si>
  <si>
    <t>B20</t>
  </si>
  <si>
    <t>B9</t>
  </si>
  <si>
    <t>B22</t>
  </si>
  <si>
    <t>B6</t>
  </si>
  <si>
    <t>B7</t>
  </si>
  <si>
    <t>B21</t>
  </si>
  <si>
    <t>B19</t>
  </si>
  <si>
    <t>B10</t>
  </si>
  <si>
    <t>basaltic andesite</t>
  </si>
  <si>
    <t>PST9 #4-3</t>
  </si>
  <si>
    <t>PST9 #5-2</t>
  </si>
  <si>
    <t>PST9 #5-3</t>
  </si>
  <si>
    <t>PST9 #5-4</t>
  </si>
  <si>
    <t>Alb1-H45</t>
  </si>
  <si>
    <t>Alb1-H44</t>
  </si>
  <si>
    <t>Alb1-6a</t>
  </si>
  <si>
    <t>Alb1-H49</t>
  </si>
  <si>
    <t>Alb1-H50</t>
  </si>
  <si>
    <t>Alb1-H51</t>
  </si>
  <si>
    <t>Jendrzejewski et al. 1997</t>
  </si>
  <si>
    <t>ALV982-1a-9</t>
  </si>
  <si>
    <t>VES-9, Run1#2</t>
  </si>
  <si>
    <t>waiting for #</t>
  </si>
  <si>
    <t>PST-9, Run1#6</t>
  </si>
  <si>
    <t>ETN-1, Run1#4</t>
  </si>
  <si>
    <t>M12</t>
  </si>
  <si>
    <t>M2</t>
  </si>
  <si>
    <t>M3</t>
  </si>
  <si>
    <t>M40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</si>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</sst>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"/>
  <sheetViews>
    <sheetView tabSelected="1" zoomScale="119" workbookViewId="0">
      <pane ySplit="1" topLeftCell="A2" activePane="bottomLeft" state="frozen"/>
      <selection pane="bottomLeft" activeCell="K42" sqref="K42"/>
    </sheetView>
  </sheetViews>
  <sheetFormatPr baseColWidth="10" defaultColWidth="8.83203125" defaultRowHeight="15" x14ac:dyDescent="0.2"/>
  <cols>
    <col min="1" max="1" width="20.83203125" bestFit="1" customWidth="1"/>
    <col min="2" max="2" width="22" bestFit="1" customWidth="1"/>
    <col min="3" max="3" width="18.6640625" customWidth="1"/>
    <col min="4" max="4" width="10.5" customWidth="1"/>
    <col min="5" max="6" width="7.83203125" customWidth="1"/>
    <col min="7" max="7" width="10.5" customWidth="1"/>
    <col min="8" max="18" width="7.83203125" style="1" customWidth="1"/>
    <col min="19" max="19" width="7.83203125" style="2" customWidth="1"/>
    <col min="20" max="20" width="7.83203125" style="1" customWidth="1"/>
    <col min="21" max="21" width="10.33203125" style="1" bestFit="1" customWidth="1"/>
    <col min="22" max="22" width="10" style="1" customWidth="1"/>
    <col min="23" max="23" width="9.83203125" style="1" customWidth="1"/>
    <col min="24" max="24" width="10.33203125" style="1" bestFit="1" customWidth="1"/>
  </cols>
  <sheetData>
    <row r="1" spans="1:24" x14ac:dyDescent="0.2">
      <c r="A1" s="3" t="s">
        <v>23</v>
      </c>
      <c r="B1" s="3" t="s">
        <v>12</v>
      </c>
      <c r="C1" s="3" t="s">
        <v>40</v>
      </c>
      <c r="D1" s="3" t="s">
        <v>13</v>
      </c>
      <c r="E1" s="3" t="s">
        <v>14</v>
      </c>
      <c r="F1" s="3" t="s">
        <v>15</v>
      </c>
      <c r="G1" s="3" t="s">
        <v>24</v>
      </c>
      <c r="H1" s="4" t="s">
        <v>0</v>
      </c>
      <c r="I1" s="4" t="s">
        <v>1</v>
      </c>
      <c r="J1" s="4" t="s">
        <v>2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9</v>
      </c>
      <c r="R1" s="4" t="s">
        <v>10</v>
      </c>
      <c r="S1" s="5" t="s">
        <v>11</v>
      </c>
      <c r="T1" s="4" t="s">
        <v>16</v>
      </c>
      <c r="U1" s="4"/>
      <c r="V1" s="4"/>
      <c r="W1" s="4"/>
      <c r="X1" s="4"/>
    </row>
    <row r="2" spans="1:24" x14ac:dyDescent="0.2">
      <c r="A2" t="s">
        <v>62</v>
      </c>
      <c r="B2" t="s">
        <v>61</v>
      </c>
      <c r="C2">
        <v>20</v>
      </c>
      <c r="D2" t="str">
        <f>IF(H2&gt;45, IF(H2&lt;52, IF((O2+P2)&lt;5,"basalt","alkali basalt")),IF(H2&lt;57,IF((O2+P2)&lt;6,"basaltic andesite","alkali intermediate"), IF((O2+P2)&lt;3, "picro-basalt","basanite")))</f>
        <v>basalt</v>
      </c>
      <c r="E2">
        <v>1200</v>
      </c>
      <c r="F2">
        <v>1950</v>
      </c>
      <c r="G2">
        <v>2000</v>
      </c>
      <c r="H2" s="1">
        <v>50.95</v>
      </c>
      <c r="I2" s="1">
        <v>1.26</v>
      </c>
      <c r="J2" s="1">
        <v>14.920999999999999</v>
      </c>
      <c r="K2" s="1">
        <v>10.5</v>
      </c>
      <c r="L2" s="1">
        <v>0.18</v>
      </c>
      <c r="M2" s="1">
        <v>7.98</v>
      </c>
      <c r="N2" s="1">
        <v>11.99</v>
      </c>
      <c r="O2" s="1">
        <v>2.14</v>
      </c>
      <c r="P2" s="1">
        <v>0.04</v>
      </c>
      <c r="Q2" s="1">
        <v>0.15</v>
      </c>
      <c r="R2" s="1">
        <v>0.38</v>
      </c>
      <c r="S2" s="2">
        <v>2.6200000000000001E-2</v>
      </c>
      <c r="T2" s="1">
        <f>SUM(O2:P2)</f>
        <v>2.1800000000000002</v>
      </c>
    </row>
    <row r="3" spans="1:24" x14ac:dyDescent="0.2">
      <c r="A3" t="s">
        <v>71</v>
      </c>
      <c r="B3" t="s">
        <v>17</v>
      </c>
      <c r="C3">
        <v>22</v>
      </c>
      <c r="D3" s="6" t="str">
        <f>IF(H3&gt;45, IF(H3&lt;52, IF((O3+P3)&lt;5,"basalt","alkali basalt")),IF(H3&lt;57,IF((O3+P3)&lt;6,"basaltic andesite","alkali intermediate"), IF((O3+P3)&lt;3, "picro-basalt","basanite")))</f>
        <v>basalt</v>
      </c>
      <c r="E3">
        <v>1250</v>
      </c>
      <c r="F3">
        <v>2000</v>
      </c>
      <c r="G3">
        <v>2000</v>
      </c>
      <c r="H3" s="1">
        <v>50.17</v>
      </c>
      <c r="I3" s="1">
        <v>0.92</v>
      </c>
      <c r="J3" s="1">
        <v>18.28</v>
      </c>
      <c r="K3" s="1">
        <v>9.3699999999999992</v>
      </c>
      <c r="L3" s="1">
        <v>0</v>
      </c>
      <c r="M3" s="1">
        <v>7</v>
      </c>
      <c r="N3" s="1">
        <v>11.37</v>
      </c>
      <c r="O3" s="1">
        <v>2.33</v>
      </c>
      <c r="P3" s="1">
        <v>0.23</v>
      </c>
      <c r="Q3" s="1">
        <v>0.15</v>
      </c>
      <c r="R3" s="1">
        <v>0.64</v>
      </c>
      <c r="S3" s="2">
        <v>9.9000000000000005E-2</v>
      </c>
      <c r="T3" s="1">
        <f>SUM(O3:P3)</f>
        <v>2.56</v>
      </c>
    </row>
    <row r="4" spans="1:24" x14ac:dyDescent="0.2">
      <c r="A4" t="s">
        <v>69</v>
      </c>
      <c r="B4" t="s">
        <v>17</v>
      </c>
      <c r="C4">
        <v>22</v>
      </c>
      <c r="D4" s="6" t="str">
        <f>IF(H4&gt;45, IF(H4&lt;52, IF((O4+P4)&lt;5,"basalt","alkali basalt")),IF(H4&lt;57,IF((O4+P4)&lt;6,"basaltic andesite","alkali intermediate"), IF((O4+P4)&lt;3, "picro-basalt","basanite")))</f>
        <v>basalt</v>
      </c>
      <c r="E4">
        <v>1250</v>
      </c>
      <c r="F4">
        <v>2000</v>
      </c>
      <c r="G4">
        <v>2000</v>
      </c>
      <c r="H4" s="1">
        <v>50.17</v>
      </c>
      <c r="I4" s="1">
        <v>0.92</v>
      </c>
      <c r="J4" s="1">
        <v>18.28</v>
      </c>
      <c r="K4" s="1">
        <v>9.3699999999999992</v>
      </c>
      <c r="L4" s="1">
        <v>0</v>
      </c>
      <c r="M4" s="1">
        <v>7</v>
      </c>
      <c r="N4" s="1">
        <v>11.37</v>
      </c>
      <c r="O4" s="1">
        <v>2.33</v>
      </c>
      <c r="P4" s="1">
        <v>0.23</v>
      </c>
      <c r="Q4" s="1">
        <v>0.15</v>
      </c>
      <c r="R4" s="1">
        <v>3.21</v>
      </c>
      <c r="S4" s="2">
        <v>5.9799999999999999E-2</v>
      </c>
      <c r="T4" s="1">
        <f>SUM(O4:P4)</f>
        <v>2.56</v>
      </c>
    </row>
    <row r="5" spans="1:24" x14ac:dyDescent="0.2">
      <c r="A5" t="s">
        <v>68</v>
      </c>
      <c r="B5" t="s">
        <v>17</v>
      </c>
      <c r="C5">
        <v>22</v>
      </c>
      <c r="D5" s="6" t="str">
        <f>IF(H5&gt;45, IF(H5&lt;52, IF((O5+P5)&lt;5,"basalt","alkali basalt")),IF(H5&lt;57,IF((O5+P5)&lt;6,"basaltic andesite","alkali intermediate"), IF((O5+P5)&lt;3, "picro-basalt","basanite")))</f>
        <v>basalt</v>
      </c>
      <c r="E5">
        <v>1250</v>
      </c>
      <c r="F5">
        <v>2000</v>
      </c>
      <c r="G5">
        <v>2000</v>
      </c>
      <c r="H5" s="1">
        <v>50.17</v>
      </c>
      <c r="I5" s="1">
        <v>0.92</v>
      </c>
      <c r="J5" s="1">
        <v>18.28</v>
      </c>
      <c r="K5" s="1">
        <v>9.3699999999999992</v>
      </c>
      <c r="L5" s="1">
        <v>0</v>
      </c>
      <c r="M5" s="1">
        <v>7</v>
      </c>
      <c r="N5" s="1">
        <v>11.37</v>
      </c>
      <c r="O5" s="1">
        <v>2.33</v>
      </c>
      <c r="P5" s="1">
        <v>0.23</v>
      </c>
      <c r="Q5" s="1">
        <v>0.15</v>
      </c>
      <c r="R5" s="1">
        <v>4.22</v>
      </c>
      <c r="S5" s="2">
        <v>2.9600000000000001E-2</v>
      </c>
      <c r="T5" s="1">
        <f>SUM(O5:P5)</f>
        <v>2.56</v>
      </c>
    </row>
    <row r="6" spans="1:24" x14ac:dyDescent="0.2">
      <c r="A6" t="s">
        <v>67</v>
      </c>
      <c r="B6" t="s">
        <v>17</v>
      </c>
      <c r="C6">
        <v>22</v>
      </c>
      <c r="D6" s="6" t="str">
        <f>IF(H6&gt;45, IF(H6&lt;52, IF((O6+P6)&lt;5,"basalt","alkali basalt")),IF(H6&lt;57,IF((O6+P6)&lt;6,"basaltic andesite","alkali intermediate"), IF((O6+P6)&lt;3, "picro-basalt","basanite")))</f>
        <v>basalt</v>
      </c>
      <c r="E6">
        <v>1250</v>
      </c>
      <c r="F6">
        <v>2000</v>
      </c>
      <c r="G6">
        <v>2000</v>
      </c>
      <c r="H6" s="1">
        <v>50.17</v>
      </c>
      <c r="I6" s="1">
        <v>0.92</v>
      </c>
      <c r="J6" s="1">
        <v>18.28</v>
      </c>
      <c r="K6" s="1">
        <v>9.3699999999999992</v>
      </c>
      <c r="L6" s="1">
        <v>0</v>
      </c>
      <c r="M6" s="1">
        <v>7</v>
      </c>
      <c r="N6" s="1">
        <v>11.37</v>
      </c>
      <c r="O6" s="1">
        <v>2.33</v>
      </c>
      <c r="P6" s="1">
        <v>0.23</v>
      </c>
      <c r="Q6" s="1">
        <v>0.15</v>
      </c>
      <c r="R6" s="1">
        <v>4.4400000000000004</v>
      </c>
      <c r="S6" s="2">
        <v>1.95E-2</v>
      </c>
      <c r="T6" s="1">
        <f>SUM(O6:P6)</f>
        <v>2.56</v>
      </c>
    </row>
    <row r="7" spans="1:24" x14ac:dyDescent="0.2">
      <c r="A7" t="s">
        <v>70</v>
      </c>
      <c r="B7" t="s">
        <v>17</v>
      </c>
      <c r="C7">
        <v>22</v>
      </c>
      <c r="D7" s="6" t="str">
        <f>IF(H7&gt;45, IF(H7&lt;52, IF((O7+P7)&lt;5,"basalt","alkali basalt")),IF(H7&lt;57,IF((O7+P7)&lt;6,"basaltic andesite","alkali intermediate"), IF((O7+P7)&lt;3, "picro-basalt","basanite")))</f>
        <v>basalt</v>
      </c>
      <c r="E7">
        <v>1250</v>
      </c>
      <c r="F7">
        <v>4000</v>
      </c>
      <c r="G7">
        <v>4000</v>
      </c>
      <c r="H7" s="1">
        <v>50.17</v>
      </c>
      <c r="I7" s="1">
        <v>0.92</v>
      </c>
      <c r="J7" s="1">
        <v>18.28</v>
      </c>
      <c r="K7" s="1">
        <v>9.3699999999999992</v>
      </c>
      <c r="L7" s="1">
        <v>0</v>
      </c>
      <c r="M7" s="1">
        <v>7</v>
      </c>
      <c r="N7" s="1">
        <v>11.37</v>
      </c>
      <c r="O7" s="1">
        <v>2.33</v>
      </c>
      <c r="P7" s="1">
        <v>0.23</v>
      </c>
      <c r="Q7" s="1">
        <v>0.15</v>
      </c>
      <c r="R7" s="1">
        <v>3.07</v>
      </c>
      <c r="S7" s="2">
        <v>0.21829999999999999</v>
      </c>
      <c r="T7" s="1">
        <f>SUM(O7:P7)</f>
        <v>2.56</v>
      </c>
    </row>
    <row r="8" spans="1:24" x14ac:dyDescent="0.2">
      <c r="A8" t="s">
        <v>42</v>
      </c>
      <c r="B8" t="s">
        <v>19</v>
      </c>
      <c r="C8">
        <v>18</v>
      </c>
      <c r="D8" s="6" t="str">
        <f>IF(H8&gt;45, IF(H8&lt;52, IF((O8+P8)&lt;5,"basalt","alkali basalt")),IF(H8&lt;57,IF((O8+P8)&lt;6,"basaltic andesite","alkali intermediate"), IF((O8+P8)&lt;3, "picro-basalt","basanite")))</f>
        <v>basalt</v>
      </c>
      <c r="E8">
        <v>1200</v>
      </c>
      <c r="F8">
        <v>2000</v>
      </c>
      <c r="G8">
        <v>2000</v>
      </c>
      <c r="H8" s="1">
        <v>48.34</v>
      </c>
      <c r="I8" s="1">
        <v>2.86</v>
      </c>
      <c r="J8" s="1">
        <v>14.61</v>
      </c>
      <c r="K8" s="1">
        <v>12.91</v>
      </c>
      <c r="L8" s="1">
        <v>0</v>
      </c>
      <c r="M8" s="1">
        <v>6.4</v>
      </c>
      <c r="N8" s="1">
        <v>10.87</v>
      </c>
      <c r="O8" s="1">
        <v>2.6</v>
      </c>
      <c r="P8" s="1">
        <v>0.3</v>
      </c>
      <c r="Q8" s="1">
        <v>0</v>
      </c>
      <c r="R8" s="1">
        <v>0.72</v>
      </c>
      <c r="S8" s="2">
        <v>0.10589999999999999</v>
      </c>
      <c r="T8" s="1">
        <f>SUM(O8:P8)</f>
        <v>2.9</v>
      </c>
    </row>
    <row r="9" spans="1:24" x14ac:dyDescent="0.2">
      <c r="A9" t="s">
        <v>41</v>
      </c>
      <c r="B9" t="s">
        <v>19</v>
      </c>
      <c r="C9">
        <v>18</v>
      </c>
      <c r="D9" s="6" t="str">
        <f>IF(H9&gt;45, IF(H9&lt;52, IF((O9+P9)&lt;5,"basalt","alkali basalt")),IF(H9&lt;57,IF((O9+P9)&lt;6,"basaltic andesite","alkali intermediate"), IF((O9+P9)&lt;3, "picro-basalt","basanite")))</f>
        <v>basalt</v>
      </c>
      <c r="E9">
        <v>1200</v>
      </c>
      <c r="F9">
        <v>2000</v>
      </c>
      <c r="G9">
        <v>2000</v>
      </c>
      <c r="H9" s="1">
        <v>48.34</v>
      </c>
      <c r="I9" s="1">
        <v>2.86</v>
      </c>
      <c r="J9" s="1">
        <v>14.61</v>
      </c>
      <c r="K9" s="1">
        <v>12.91</v>
      </c>
      <c r="L9" s="1">
        <v>0</v>
      </c>
      <c r="M9" s="1">
        <v>6.4</v>
      </c>
      <c r="N9" s="1">
        <v>10.87</v>
      </c>
      <c r="O9" s="1">
        <v>2.6</v>
      </c>
      <c r="P9" s="1">
        <v>0.3</v>
      </c>
      <c r="Q9" s="1">
        <v>0</v>
      </c>
      <c r="R9" s="1">
        <v>0.82</v>
      </c>
      <c r="S9" s="2">
        <v>0.1061</v>
      </c>
      <c r="T9" s="1">
        <f>SUM(O9:P9)</f>
        <v>2.9</v>
      </c>
    </row>
    <row r="10" spans="1:24" x14ac:dyDescent="0.2">
      <c r="A10" t="s">
        <v>44</v>
      </c>
      <c r="B10" t="s">
        <v>19</v>
      </c>
      <c r="C10">
        <v>18</v>
      </c>
      <c r="D10" s="6" t="str">
        <f>IF(H10&gt;45, IF(H10&lt;52, IF((O10+P10)&lt;5,"basalt","alkali basalt")),IF(H10&lt;57,IF((O10+P10)&lt;6,"basaltic andesite","alkali intermediate"), IF((O10+P10)&lt;3, "picro-basalt","basanite")))</f>
        <v>basalt</v>
      </c>
      <c r="E10">
        <v>1200</v>
      </c>
      <c r="F10">
        <v>2000</v>
      </c>
      <c r="G10">
        <v>2000</v>
      </c>
      <c r="H10" s="1">
        <v>48.34</v>
      </c>
      <c r="I10" s="1">
        <v>2.86</v>
      </c>
      <c r="J10" s="1">
        <v>14.61</v>
      </c>
      <c r="K10" s="1">
        <v>12.91</v>
      </c>
      <c r="L10" s="1">
        <v>0</v>
      </c>
      <c r="M10" s="1">
        <v>6.4</v>
      </c>
      <c r="N10" s="1">
        <v>10.87</v>
      </c>
      <c r="O10" s="1">
        <v>2.6</v>
      </c>
      <c r="P10" s="1">
        <v>0.3</v>
      </c>
      <c r="Q10" s="1">
        <v>0</v>
      </c>
      <c r="R10" s="1">
        <v>0.94</v>
      </c>
      <c r="S10" s="2">
        <v>0.10059999999999999</v>
      </c>
      <c r="T10" s="1">
        <f>SUM(O10:P10)</f>
        <v>2.9</v>
      </c>
    </row>
    <row r="11" spans="1:24" x14ac:dyDescent="0.2">
      <c r="A11" t="s">
        <v>46</v>
      </c>
      <c r="B11" t="s">
        <v>19</v>
      </c>
      <c r="C11">
        <v>18</v>
      </c>
      <c r="D11" s="6" t="str">
        <f>IF(H11&gt;45, IF(H11&lt;52, IF((O11+P11)&lt;5,"basalt","alkali basalt")),IF(H11&lt;57,IF((O11+P11)&lt;6,"basaltic andesite","alkali intermediate"), IF((O11+P11)&lt;3, "picro-basalt","basanite")))</f>
        <v>basalt</v>
      </c>
      <c r="E11">
        <v>1200</v>
      </c>
      <c r="F11">
        <v>2000</v>
      </c>
      <c r="G11">
        <v>2000</v>
      </c>
      <c r="H11" s="1">
        <v>48.34</v>
      </c>
      <c r="I11" s="1">
        <v>2.86</v>
      </c>
      <c r="J11" s="1">
        <v>14.61</v>
      </c>
      <c r="K11" s="1">
        <v>12.91</v>
      </c>
      <c r="L11" s="1">
        <v>0</v>
      </c>
      <c r="M11" s="1">
        <v>6.4</v>
      </c>
      <c r="N11" s="1">
        <v>10.87</v>
      </c>
      <c r="O11" s="1">
        <v>2.6</v>
      </c>
      <c r="P11" s="1">
        <v>0.3</v>
      </c>
      <c r="Q11" s="1">
        <v>0</v>
      </c>
      <c r="R11" s="1">
        <v>0.97</v>
      </c>
      <c r="S11" s="2">
        <v>9.7600000000000006E-2</v>
      </c>
      <c r="T11" s="1">
        <f>SUM(O11:P11)</f>
        <v>2.9</v>
      </c>
    </row>
    <row r="12" spans="1:24" x14ac:dyDescent="0.2">
      <c r="A12" t="s">
        <v>43</v>
      </c>
      <c r="B12" t="s">
        <v>19</v>
      </c>
      <c r="C12">
        <v>18</v>
      </c>
      <c r="D12" s="6" t="str">
        <f>IF(H12&gt;45, IF(H12&lt;52, IF((O12+P12)&lt;5,"basalt","alkali basalt")),IF(H12&lt;57,IF((O12+P12)&lt;6,"basaltic andesite","alkali intermediate"), IF((O12+P12)&lt;3, "picro-basalt","basanite")))</f>
        <v>basalt</v>
      </c>
      <c r="E12">
        <v>1200</v>
      </c>
      <c r="F12">
        <v>2000</v>
      </c>
      <c r="G12">
        <v>2000</v>
      </c>
      <c r="H12" s="1">
        <v>48.34</v>
      </c>
      <c r="I12" s="1">
        <v>2.86</v>
      </c>
      <c r="J12" s="1">
        <v>14.61</v>
      </c>
      <c r="K12" s="1">
        <v>12.91</v>
      </c>
      <c r="L12" s="1">
        <v>0</v>
      </c>
      <c r="M12" s="1">
        <v>6.4</v>
      </c>
      <c r="N12" s="1">
        <v>10.87</v>
      </c>
      <c r="O12" s="1">
        <v>2.6</v>
      </c>
      <c r="P12" s="1">
        <v>0.3</v>
      </c>
      <c r="Q12" s="1">
        <v>0</v>
      </c>
      <c r="R12" s="1">
        <v>1.1399999999999999</v>
      </c>
      <c r="S12" s="2">
        <v>0.1033</v>
      </c>
      <c r="T12" s="1">
        <f>SUM(O12:P12)</f>
        <v>2.9</v>
      </c>
    </row>
    <row r="13" spans="1:24" x14ac:dyDescent="0.2">
      <c r="A13" t="s">
        <v>48</v>
      </c>
      <c r="B13" t="s">
        <v>19</v>
      </c>
      <c r="C13">
        <v>18</v>
      </c>
      <c r="D13" s="6" t="str">
        <f>IF(H13&gt;45, IF(H13&lt;52, IF((O13+P13)&lt;5,"basalt","alkali basalt")),IF(H13&lt;57,IF((O13+P13)&lt;6,"basaltic andesite","alkali intermediate"), IF((O13+P13)&lt;3, "picro-basalt","basanite")))</f>
        <v>basalt</v>
      </c>
      <c r="E13">
        <v>1200</v>
      </c>
      <c r="F13">
        <v>2000</v>
      </c>
      <c r="G13">
        <v>2000</v>
      </c>
      <c r="H13" s="1">
        <v>48.34</v>
      </c>
      <c r="I13" s="1">
        <v>2.86</v>
      </c>
      <c r="J13" s="1">
        <v>14.61</v>
      </c>
      <c r="K13" s="1">
        <v>12.91</v>
      </c>
      <c r="L13" s="1">
        <v>0</v>
      </c>
      <c r="M13" s="1">
        <v>6.4</v>
      </c>
      <c r="N13" s="1">
        <v>10.87</v>
      </c>
      <c r="O13" s="1">
        <v>2.6</v>
      </c>
      <c r="P13" s="1">
        <v>0.3</v>
      </c>
      <c r="Q13" s="1">
        <v>0</v>
      </c>
      <c r="R13" s="1">
        <v>1.85</v>
      </c>
      <c r="S13" s="2">
        <v>7.9399999999999998E-2</v>
      </c>
      <c r="T13" s="1">
        <f>SUM(O13:P13)</f>
        <v>2.9</v>
      </c>
    </row>
    <row r="14" spans="1:24" x14ac:dyDescent="0.2">
      <c r="A14" t="s">
        <v>45</v>
      </c>
      <c r="B14" t="s">
        <v>19</v>
      </c>
      <c r="C14">
        <v>18</v>
      </c>
      <c r="D14" s="6" t="str">
        <f>IF(H14&gt;45, IF(H14&lt;52, IF((O14+P14)&lt;5,"basalt","alkali basalt")),IF(H14&lt;57,IF((O14+P14)&lt;6,"basaltic andesite","alkali intermediate"), IF((O14+P14)&lt;3, "picro-basalt","basanite")))</f>
        <v>basalt</v>
      </c>
      <c r="E14">
        <v>1200</v>
      </c>
      <c r="F14">
        <v>2000</v>
      </c>
      <c r="G14">
        <v>2000</v>
      </c>
      <c r="H14" s="1">
        <v>48.34</v>
      </c>
      <c r="I14" s="1">
        <v>2.86</v>
      </c>
      <c r="J14" s="1">
        <v>14.61</v>
      </c>
      <c r="K14" s="1">
        <v>12.91</v>
      </c>
      <c r="L14" s="1">
        <v>0</v>
      </c>
      <c r="M14" s="1">
        <v>6.4</v>
      </c>
      <c r="N14" s="1">
        <v>10.87</v>
      </c>
      <c r="O14" s="1">
        <v>2.6</v>
      </c>
      <c r="P14" s="1">
        <v>0.3</v>
      </c>
      <c r="Q14" s="1">
        <v>0</v>
      </c>
      <c r="R14" s="1">
        <v>2</v>
      </c>
      <c r="S14" s="2">
        <v>9.9199999999999997E-2</v>
      </c>
      <c r="T14" s="1">
        <f>SUM(O14:P14)</f>
        <v>2.9</v>
      </c>
    </row>
    <row r="15" spans="1:24" x14ac:dyDescent="0.2">
      <c r="A15" t="s">
        <v>49</v>
      </c>
      <c r="B15" t="s">
        <v>19</v>
      </c>
      <c r="C15">
        <v>18</v>
      </c>
      <c r="D15" s="6" t="str">
        <f>IF(H15&gt;45, IF(H15&lt;52, IF((O15+P15)&lt;5,"basalt","alkali basalt")),IF(H15&lt;57,IF((O15+P15)&lt;6,"basaltic andesite","alkali intermediate"), IF((O15+P15)&lt;3, "picro-basalt","basanite")))</f>
        <v>basalt</v>
      </c>
      <c r="E15">
        <v>1200</v>
      </c>
      <c r="F15">
        <v>2000</v>
      </c>
      <c r="G15">
        <v>2000</v>
      </c>
      <c r="H15" s="1">
        <v>48.34</v>
      </c>
      <c r="I15" s="1">
        <v>2.86</v>
      </c>
      <c r="J15" s="1">
        <v>14.61</v>
      </c>
      <c r="K15" s="1">
        <v>12.91</v>
      </c>
      <c r="L15" s="1">
        <v>0</v>
      </c>
      <c r="M15" s="1">
        <v>6.4</v>
      </c>
      <c r="N15" s="1">
        <v>10.87</v>
      </c>
      <c r="O15" s="1">
        <v>2.6</v>
      </c>
      <c r="P15" s="1">
        <v>0.3</v>
      </c>
      <c r="Q15" s="1">
        <v>0</v>
      </c>
      <c r="R15" s="1">
        <v>2.4300000000000002</v>
      </c>
      <c r="S15" s="2">
        <v>7.8200000000000006E-2</v>
      </c>
      <c r="T15" s="1">
        <f>SUM(O15:P15)</f>
        <v>2.9</v>
      </c>
    </row>
    <row r="16" spans="1:24" x14ac:dyDescent="0.2">
      <c r="A16" t="s">
        <v>47</v>
      </c>
      <c r="B16" t="s">
        <v>19</v>
      </c>
      <c r="C16">
        <v>18</v>
      </c>
      <c r="D16" s="6" t="str">
        <f>IF(H16&gt;45, IF(H16&lt;52, IF((O16+P16)&lt;5,"basalt","alkali basalt")),IF(H16&lt;57,IF((O16+P16)&lt;6,"basaltic andesite","alkali intermediate"), IF((O16+P16)&lt;3, "picro-basalt","basanite")))</f>
        <v>basalt</v>
      </c>
      <c r="E16">
        <v>1200</v>
      </c>
      <c r="F16">
        <v>2000</v>
      </c>
      <c r="G16">
        <v>2000</v>
      </c>
      <c r="H16" s="1">
        <v>48.34</v>
      </c>
      <c r="I16" s="1">
        <v>2.86</v>
      </c>
      <c r="J16" s="1">
        <v>14.61</v>
      </c>
      <c r="K16" s="1">
        <v>12.91</v>
      </c>
      <c r="L16" s="1">
        <v>0</v>
      </c>
      <c r="M16" s="1">
        <v>6.4</v>
      </c>
      <c r="N16" s="1">
        <v>10.87</v>
      </c>
      <c r="O16" s="1">
        <v>2.6</v>
      </c>
      <c r="P16" s="1">
        <v>0.3</v>
      </c>
      <c r="Q16" s="1">
        <v>0</v>
      </c>
      <c r="R16" s="1">
        <v>2.9</v>
      </c>
      <c r="S16" s="2">
        <v>8.14E-2</v>
      </c>
      <c r="T16" s="1">
        <f>SUM(O16:P16)</f>
        <v>2.9</v>
      </c>
    </row>
    <row r="17" spans="1:20" x14ac:dyDescent="0.2">
      <c r="A17" t="s">
        <v>53</v>
      </c>
      <c r="B17" t="s">
        <v>21</v>
      </c>
      <c r="C17">
        <v>19</v>
      </c>
      <c r="D17" s="6" t="str">
        <f>IF(H17&gt;45, IF(H17&lt;52, IF((O17+P17)&lt;5,"basalt","alkali basalt")),IF(H17&lt;57,IF((O17+P17)&lt;6,"basaltic andesite","alkali intermediate"), IF((O17+P17)&lt;3, "picro-basalt","basanite")))</f>
        <v>basalt</v>
      </c>
      <c r="E17">
        <v>1150</v>
      </c>
      <c r="F17">
        <v>2130</v>
      </c>
      <c r="G17">
        <v>2000</v>
      </c>
      <c r="H17">
        <v>49.07</v>
      </c>
      <c r="I17">
        <v>0.86</v>
      </c>
      <c r="J17">
        <v>14.8</v>
      </c>
      <c r="K17" s="1">
        <v>7.18</v>
      </c>
      <c r="L17" s="1">
        <v>0</v>
      </c>
      <c r="M17" s="1">
        <v>7.55</v>
      </c>
      <c r="N17" s="1">
        <v>15.84</v>
      </c>
      <c r="O17" s="1">
        <v>2.2400000000000002</v>
      </c>
      <c r="P17" s="1">
        <v>1.8</v>
      </c>
      <c r="Q17" s="1">
        <v>0.66</v>
      </c>
      <c r="R17" s="1">
        <v>2.6</v>
      </c>
      <c r="S17" s="1">
        <v>0.2</v>
      </c>
      <c r="T17" s="1">
        <f>SUM(O17:P17)</f>
        <v>4.04</v>
      </c>
    </row>
    <row r="18" spans="1:20" x14ac:dyDescent="0.2">
      <c r="A18" t="s">
        <v>51</v>
      </c>
      <c r="B18" t="s">
        <v>21</v>
      </c>
      <c r="C18">
        <v>19</v>
      </c>
      <c r="D18" s="6" t="str">
        <f>IF(H18&gt;45, IF(H18&lt;52, IF((O18+P18)&lt;5,"basalt","alkali basalt")),IF(H18&lt;57,IF((O18+P18)&lt;6,"basaltic andesite","alkali intermediate"), IF((O18+P18)&lt;3, "picro-basalt","basanite")))</f>
        <v>basalt</v>
      </c>
      <c r="E18">
        <v>1100</v>
      </c>
      <c r="F18">
        <v>2140</v>
      </c>
      <c r="G18">
        <v>2000</v>
      </c>
      <c r="H18">
        <v>49.18</v>
      </c>
      <c r="I18">
        <v>0.9</v>
      </c>
      <c r="J18">
        <v>14.7</v>
      </c>
      <c r="K18" s="1">
        <v>7.41</v>
      </c>
      <c r="L18" s="1">
        <v>0</v>
      </c>
      <c r="M18" s="1">
        <v>7.65</v>
      </c>
      <c r="N18" s="1">
        <v>15.41</v>
      </c>
      <c r="O18" s="1">
        <v>2.2000000000000002</v>
      </c>
      <c r="P18" s="1">
        <v>1.89</v>
      </c>
      <c r="Q18" s="1">
        <v>0.65</v>
      </c>
      <c r="R18" s="1">
        <v>2.6</v>
      </c>
      <c r="S18" s="1">
        <v>0.2</v>
      </c>
      <c r="T18" s="1">
        <f>SUM(O18:P18)</f>
        <v>4.09</v>
      </c>
    </row>
    <row r="19" spans="1:20" x14ac:dyDescent="0.2">
      <c r="A19" t="s">
        <v>65</v>
      </c>
      <c r="B19" t="s">
        <v>18</v>
      </c>
      <c r="C19" t="s">
        <v>64</v>
      </c>
      <c r="D19" s="6" t="str">
        <f>IF(H19&gt;45, IF(H19&lt;52, IF((O19+P19)&lt;5,"basalt","alkali basalt")),IF(H19&lt;57,IF((O19+P19)&lt;6,"basaltic andesite","alkali intermediate"), IF((O19+P19)&lt;3, "picro-basalt","basanite")))</f>
        <v>basalt</v>
      </c>
      <c r="E19">
        <v>1200</v>
      </c>
      <c r="F19">
        <v>2059</v>
      </c>
      <c r="G19">
        <v>2000</v>
      </c>
      <c r="H19" s="1">
        <v>49.4</v>
      </c>
      <c r="I19" s="1">
        <v>0.8</v>
      </c>
      <c r="J19" s="1">
        <v>15.8</v>
      </c>
      <c r="K19" s="1">
        <v>7.64</v>
      </c>
      <c r="L19" s="1">
        <v>0</v>
      </c>
      <c r="M19" s="1">
        <v>8</v>
      </c>
      <c r="N19" s="1">
        <v>12.7</v>
      </c>
      <c r="O19" s="1">
        <v>2.2999999999999998</v>
      </c>
      <c r="P19" s="1">
        <v>1.9</v>
      </c>
      <c r="Q19" s="1">
        <v>0.4</v>
      </c>
      <c r="R19" s="1">
        <v>1.58</v>
      </c>
      <c r="S19" s="2">
        <v>0.11700000000000001</v>
      </c>
      <c r="T19" s="1">
        <f>SUM(O19:P19)</f>
        <v>4.1999999999999993</v>
      </c>
    </row>
    <row r="20" spans="1:20" x14ac:dyDescent="0.2">
      <c r="A20" t="s">
        <v>33</v>
      </c>
      <c r="B20" t="s">
        <v>22</v>
      </c>
      <c r="C20">
        <v>16</v>
      </c>
      <c r="D20" s="6" t="str">
        <f>IF(H20&gt;45, IF(H20&lt;52, IF((O20+P20)&lt;5,"basalt","alkali basalt")),IF(H20&lt;57,IF((O20+P20)&lt;6,"basaltic andesite","alkali intermediate"), IF((O20+P20)&lt;3, "picro-basalt","basanite")))</f>
        <v>basalt</v>
      </c>
      <c r="E20">
        <v>1200</v>
      </c>
      <c r="F20">
        <v>6098</v>
      </c>
      <c r="G20">
        <v>6000</v>
      </c>
      <c r="H20" s="1">
        <v>48.13</v>
      </c>
      <c r="I20" s="1">
        <v>1.84</v>
      </c>
      <c r="J20" s="1">
        <v>16.62</v>
      </c>
      <c r="K20" s="1">
        <v>9.61</v>
      </c>
      <c r="L20" s="1">
        <v>0.17</v>
      </c>
      <c r="M20" s="1">
        <v>8.75</v>
      </c>
      <c r="N20" s="1">
        <v>10.09</v>
      </c>
      <c r="O20" s="1">
        <v>3.47</v>
      </c>
      <c r="P20" s="1">
        <v>0.81</v>
      </c>
      <c r="Q20" s="1">
        <v>0.49</v>
      </c>
      <c r="R20" s="1">
        <v>4.12</v>
      </c>
      <c r="S20" s="2">
        <v>0.60860000000000003</v>
      </c>
      <c r="T20" s="1">
        <f>SUM(O20:P20)</f>
        <v>4.28</v>
      </c>
    </row>
    <row r="21" spans="1:20" x14ac:dyDescent="0.2">
      <c r="A21" t="s">
        <v>26</v>
      </c>
      <c r="B21" t="s">
        <v>22</v>
      </c>
      <c r="C21">
        <v>16</v>
      </c>
      <c r="D21" s="6" t="str">
        <f>IF(H21&gt;45, IF(H21&lt;52, IF((O21+P21)&lt;5,"basalt","alkali basalt")),IF(H21&lt;57,IF((O21+P21)&lt;6,"basaltic andesite","alkali intermediate"), IF((O21+P21)&lt;3, "picro-basalt","basanite")))</f>
        <v>basalt</v>
      </c>
      <c r="E21">
        <v>1200</v>
      </c>
      <c r="F21">
        <v>4071</v>
      </c>
      <c r="G21">
        <v>4000</v>
      </c>
      <c r="H21" s="1">
        <v>48.21</v>
      </c>
      <c r="I21" s="1">
        <v>1.86</v>
      </c>
      <c r="J21" s="1">
        <v>16.440000000000001</v>
      </c>
      <c r="K21" s="1">
        <v>9.92</v>
      </c>
      <c r="L21" s="1">
        <v>0.18</v>
      </c>
      <c r="M21" s="1">
        <v>8.58</v>
      </c>
      <c r="N21" s="1">
        <v>10.06</v>
      </c>
      <c r="O21" s="1">
        <v>3.46</v>
      </c>
      <c r="P21" s="1">
        <v>0.82</v>
      </c>
      <c r="Q21" s="1">
        <v>0.47</v>
      </c>
      <c r="R21" s="1">
        <v>2.61</v>
      </c>
      <c r="S21" s="2">
        <v>0.31759999999999999</v>
      </c>
      <c r="T21" s="1">
        <f>SUM(O21:P21)</f>
        <v>4.28</v>
      </c>
    </row>
    <row r="22" spans="1:20" x14ac:dyDescent="0.2">
      <c r="A22" t="s">
        <v>32</v>
      </c>
      <c r="B22" t="s">
        <v>22</v>
      </c>
      <c r="C22">
        <v>16</v>
      </c>
      <c r="D22" s="6" t="str">
        <f>IF(H22&gt;45, IF(H22&lt;52, IF((O22+P22)&lt;5,"basalt","alkali basalt")),IF(H22&lt;57,IF((O22+P22)&lt;6,"basaltic andesite","alkali intermediate"), IF((O22+P22)&lt;3, "picro-basalt","basanite")))</f>
        <v>basalt</v>
      </c>
      <c r="E22">
        <v>1200</v>
      </c>
      <c r="F22">
        <v>6080</v>
      </c>
      <c r="G22">
        <v>6000</v>
      </c>
      <c r="H22" s="1">
        <v>49.81</v>
      </c>
      <c r="I22" s="1">
        <v>0.78</v>
      </c>
      <c r="J22" s="1">
        <v>16.649999999999999</v>
      </c>
      <c r="K22" s="1">
        <v>6.95</v>
      </c>
      <c r="L22" s="1">
        <v>0.2</v>
      </c>
      <c r="M22" s="1">
        <v>8.16</v>
      </c>
      <c r="N22" s="1">
        <v>12.75</v>
      </c>
      <c r="O22" s="1">
        <v>2.42</v>
      </c>
      <c r="P22" s="1">
        <v>1.88</v>
      </c>
      <c r="Q22" s="1">
        <v>0.39</v>
      </c>
      <c r="R22" s="1">
        <v>4.16</v>
      </c>
      <c r="S22" s="2">
        <v>0.60860000000000003</v>
      </c>
      <c r="T22" s="1">
        <f>SUM(O22:P22)</f>
        <v>4.3</v>
      </c>
    </row>
    <row r="23" spans="1:20" x14ac:dyDescent="0.2">
      <c r="A23" t="s">
        <v>52</v>
      </c>
      <c r="B23" t="s">
        <v>21</v>
      </c>
      <c r="C23">
        <v>19</v>
      </c>
      <c r="D23" s="6" t="str">
        <f>IF(H23&gt;45, IF(H23&lt;52, IF((O23+P23)&lt;5,"basalt","alkali basalt")),IF(H23&lt;57,IF((O23+P23)&lt;6,"basaltic andesite","alkali intermediate"), IF((O23+P23)&lt;3, "picro-basalt","basanite")))</f>
        <v>basalt</v>
      </c>
      <c r="E23">
        <v>1150</v>
      </c>
      <c r="F23">
        <v>2130</v>
      </c>
      <c r="G23">
        <v>2000</v>
      </c>
      <c r="H23">
        <v>50.26</v>
      </c>
      <c r="I23">
        <v>0.99</v>
      </c>
      <c r="J23">
        <v>15.44</v>
      </c>
      <c r="K23" s="1">
        <v>7.53</v>
      </c>
      <c r="L23" s="1">
        <v>0</v>
      </c>
      <c r="M23" s="1">
        <v>7.27</v>
      </c>
      <c r="N23" s="1">
        <v>13.46</v>
      </c>
      <c r="O23" s="1">
        <v>2.3199999999999998</v>
      </c>
      <c r="P23" s="1">
        <v>2.04</v>
      </c>
      <c r="Q23" s="1">
        <v>0.69</v>
      </c>
      <c r="R23" s="1">
        <v>2.4</v>
      </c>
      <c r="S23" s="1">
        <v>0.13</v>
      </c>
      <c r="T23" s="1">
        <f>SUM(O23:P23)</f>
        <v>4.3599999999999994</v>
      </c>
    </row>
    <row r="24" spans="1:20" x14ac:dyDescent="0.2">
      <c r="A24" t="s">
        <v>54</v>
      </c>
      <c r="B24" t="s">
        <v>21</v>
      </c>
      <c r="C24">
        <v>19</v>
      </c>
      <c r="D24" s="6" t="str">
        <f>IF(H24&gt;45, IF(H24&lt;52, IF((O24+P24)&lt;5,"basalt","alkali basalt")),IF(H24&lt;57,IF((O24+P24)&lt;6,"basaltic andesite","alkali intermediate"), IF((O24+P24)&lt;3, "picro-basalt","basanite")))</f>
        <v>basalt</v>
      </c>
      <c r="E24">
        <v>1150</v>
      </c>
      <c r="F24">
        <v>2130</v>
      </c>
      <c r="G24">
        <v>2000</v>
      </c>
      <c r="H24">
        <v>47.76</v>
      </c>
      <c r="I24">
        <v>0.86</v>
      </c>
      <c r="J24">
        <v>15.13</v>
      </c>
      <c r="K24" s="1">
        <v>7.23</v>
      </c>
      <c r="L24" s="1">
        <v>0</v>
      </c>
      <c r="M24" s="1">
        <v>6.66</v>
      </c>
      <c r="N24" s="1">
        <v>17.260000000000002</v>
      </c>
      <c r="O24" s="1">
        <v>2.4700000000000002</v>
      </c>
      <c r="P24" s="1">
        <v>1.98</v>
      </c>
      <c r="Q24" s="1">
        <v>0.66</v>
      </c>
      <c r="R24" s="1">
        <v>2.5</v>
      </c>
      <c r="S24" s="1">
        <v>0.28000000000000003</v>
      </c>
      <c r="T24" s="1">
        <f>SUM(O24:P24)</f>
        <v>4.45</v>
      </c>
    </row>
    <row r="25" spans="1:20" x14ac:dyDescent="0.2">
      <c r="A25" t="s">
        <v>30</v>
      </c>
      <c r="B25" t="s">
        <v>22</v>
      </c>
      <c r="C25">
        <v>16</v>
      </c>
      <c r="D25" s="6" t="str">
        <f>IF(H25&gt;45, IF(H25&lt;52, IF((O25+P25)&lt;5,"basalt","alkali basalt")),IF(H25&lt;57,IF((O25+P25)&lt;6,"basaltic andesite","alkali intermediate"), IF((O25+P25)&lt;3, "picro-basalt","basanite")))</f>
        <v>basalt</v>
      </c>
      <c r="E25">
        <v>1200</v>
      </c>
      <c r="F25">
        <v>4270</v>
      </c>
      <c r="G25">
        <v>4000</v>
      </c>
      <c r="H25" s="1">
        <v>50.03</v>
      </c>
      <c r="I25" s="1">
        <v>0.82</v>
      </c>
      <c r="J25" s="1">
        <v>16.739999999999998</v>
      </c>
      <c r="K25" s="1">
        <v>6.56</v>
      </c>
      <c r="L25" s="1">
        <v>0.2</v>
      </c>
      <c r="M25" s="1">
        <v>8.0299999999999994</v>
      </c>
      <c r="N25" s="1">
        <v>12.74</v>
      </c>
      <c r="O25" s="1">
        <v>2.46</v>
      </c>
      <c r="P25" s="1">
        <v>1.99</v>
      </c>
      <c r="Q25" s="1">
        <v>0.41</v>
      </c>
      <c r="R25" s="1">
        <v>2.33</v>
      </c>
      <c r="S25" s="2">
        <v>0.35680000000000001</v>
      </c>
      <c r="T25" s="1">
        <f>SUM(O25:P25)</f>
        <v>4.45</v>
      </c>
    </row>
    <row r="26" spans="1:20" x14ac:dyDescent="0.2">
      <c r="A26" t="s">
        <v>34</v>
      </c>
      <c r="B26" t="s">
        <v>22</v>
      </c>
      <c r="C26">
        <v>16</v>
      </c>
      <c r="D26" s="6" t="s">
        <v>50</v>
      </c>
      <c r="E26">
        <v>1200</v>
      </c>
      <c r="F26">
        <v>6123</v>
      </c>
      <c r="G26">
        <v>6000</v>
      </c>
      <c r="H26" s="1">
        <v>53.12</v>
      </c>
      <c r="I26" s="1">
        <v>1.1399999999999999</v>
      </c>
      <c r="J26" s="1">
        <v>16.59</v>
      </c>
      <c r="K26" s="1">
        <v>7.68</v>
      </c>
      <c r="L26" s="1">
        <v>0.18</v>
      </c>
      <c r="M26" s="1">
        <v>6.75</v>
      </c>
      <c r="N26" s="1">
        <v>9.3000000000000007</v>
      </c>
      <c r="O26" s="1">
        <v>3.21</v>
      </c>
      <c r="P26" s="1">
        <v>1.32</v>
      </c>
      <c r="Q26" s="1">
        <v>0.7</v>
      </c>
      <c r="R26" s="1">
        <v>4.7699999999999996</v>
      </c>
      <c r="S26" s="2">
        <v>0.49630000000000002</v>
      </c>
      <c r="T26" s="1">
        <f>SUM(O26:P26)</f>
        <v>4.53</v>
      </c>
    </row>
    <row r="27" spans="1:20" x14ac:dyDescent="0.2">
      <c r="A27" t="s">
        <v>29</v>
      </c>
      <c r="B27" t="s">
        <v>22</v>
      </c>
      <c r="C27">
        <v>16</v>
      </c>
      <c r="D27" s="6" t="s">
        <v>50</v>
      </c>
      <c r="E27">
        <v>1200</v>
      </c>
      <c r="F27">
        <v>4255</v>
      </c>
      <c r="G27">
        <v>4000</v>
      </c>
      <c r="H27" s="1">
        <v>52.63</v>
      </c>
      <c r="I27" s="1">
        <v>1.1599999999999999</v>
      </c>
      <c r="J27" s="1">
        <v>17.170000000000002</v>
      </c>
      <c r="K27" s="1">
        <v>7.55</v>
      </c>
      <c r="L27" s="1">
        <v>0.19</v>
      </c>
      <c r="M27" s="1">
        <v>6.34</v>
      </c>
      <c r="N27" s="1">
        <v>9.44</v>
      </c>
      <c r="O27" s="1">
        <v>3.3</v>
      </c>
      <c r="P27" s="1">
        <v>1.41</v>
      </c>
      <c r="Q27" s="1">
        <v>0.79</v>
      </c>
      <c r="R27" s="1">
        <v>2.39</v>
      </c>
      <c r="S27" s="2">
        <v>0.3049</v>
      </c>
      <c r="T27" s="1">
        <f>SUM(O27:P27)</f>
        <v>4.71</v>
      </c>
    </row>
    <row r="28" spans="1:20" x14ac:dyDescent="0.2">
      <c r="A28" t="s">
        <v>35</v>
      </c>
      <c r="B28" t="s">
        <v>22</v>
      </c>
      <c r="C28">
        <v>16</v>
      </c>
      <c r="D28" s="6" t="s">
        <v>50</v>
      </c>
      <c r="E28">
        <v>1200</v>
      </c>
      <c r="F28">
        <v>6141</v>
      </c>
      <c r="G28">
        <v>6000</v>
      </c>
      <c r="H28" s="1">
        <v>52.82</v>
      </c>
      <c r="I28" s="1">
        <v>1.19</v>
      </c>
      <c r="J28" s="1">
        <v>17.29</v>
      </c>
      <c r="K28" s="1">
        <v>7.44</v>
      </c>
      <c r="L28" s="1">
        <v>0.17</v>
      </c>
      <c r="M28" s="1">
        <v>6.2</v>
      </c>
      <c r="N28" s="1">
        <v>9.26</v>
      </c>
      <c r="O28" s="1">
        <v>3.36</v>
      </c>
      <c r="P28" s="1">
        <v>1.42</v>
      </c>
      <c r="Q28" s="1">
        <v>0.82</v>
      </c>
      <c r="R28" s="1">
        <v>3.9</v>
      </c>
      <c r="S28" s="2">
        <v>0.55200000000000005</v>
      </c>
      <c r="T28" s="1">
        <f>SUM(O28:P28)</f>
        <v>4.7799999999999994</v>
      </c>
    </row>
    <row r="29" spans="1:20" x14ac:dyDescent="0.2">
      <c r="A29" t="s">
        <v>66</v>
      </c>
      <c r="B29" t="s">
        <v>18</v>
      </c>
      <c r="C29" t="s">
        <v>64</v>
      </c>
      <c r="D29" s="6" t="str">
        <f>IF(H29&gt;45, IF(H29&lt;52, IF((O29+P29)&lt;5,"basalt","alkali basalt")),IF(H29&lt;57,IF((O29+P29)&lt;6,"basaltic andesite","alkali intermediate"), IF((O29+P29)&lt;3, "picro-basalt","basanite")))</f>
        <v>alkali basalt</v>
      </c>
      <c r="E29">
        <v>1200</v>
      </c>
      <c r="F29">
        <v>2059</v>
      </c>
      <c r="G29">
        <v>2000</v>
      </c>
      <c r="H29" s="1">
        <v>47.59</v>
      </c>
      <c r="I29" s="1">
        <v>1.66</v>
      </c>
      <c r="J29" s="1">
        <v>17.190000000000001</v>
      </c>
      <c r="K29" s="1">
        <v>10.15</v>
      </c>
      <c r="L29" s="1">
        <v>0</v>
      </c>
      <c r="M29" s="1">
        <v>5.72</v>
      </c>
      <c r="N29" s="1">
        <v>10.85</v>
      </c>
      <c r="O29" s="1">
        <v>3.42</v>
      </c>
      <c r="P29" s="1">
        <v>1.98</v>
      </c>
      <c r="Q29" s="1">
        <v>0.51</v>
      </c>
      <c r="R29" s="1">
        <v>1.49</v>
      </c>
      <c r="S29" s="2">
        <v>0.1429</v>
      </c>
      <c r="T29" s="1">
        <f>SUM(O29:P29)</f>
        <v>5.4</v>
      </c>
    </row>
    <row r="30" spans="1:20" x14ac:dyDescent="0.2">
      <c r="A30" t="s">
        <v>25</v>
      </c>
      <c r="B30" t="s">
        <v>22</v>
      </c>
      <c r="C30">
        <v>16</v>
      </c>
      <c r="D30" s="6" t="str">
        <f>IF(H30&gt;45, IF(H30&lt;52, IF((O30+P30)&lt;5,"basalt","alkali basalt")),IF(H30&lt;57,IF((O30+P30)&lt;6,"basaltic andesite","alkali intermediate"), IF((O30+P30)&lt;3, "picro-basalt","basanite")))</f>
        <v>alkali basalt</v>
      </c>
      <c r="E30">
        <v>1200</v>
      </c>
      <c r="F30">
        <v>4041</v>
      </c>
      <c r="G30">
        <v>4000</v>
      </c>
      <c r="H30" s="1">
        <v>48.77</v>
      </c>
      <c r="I30" s="1">
        <v>1.79</v>
      </c>
      <c r="J30" s="1">
        <v>16.98</v>
      </c>
      <c r="K30" s="1">
        <v>8.6999999999999993</v>
      </c>
      <c r="L30" s="1">
        <v>0.18</v>
      </c>
      <c r="M30" s="1">
        <v>6.33</v>
      </c>
      <c r="N30" s="1">
        <v>11.26</v>
      </c>
      <c r="O30" s="1">
        <v>3.65</v>
      </c>
      <c r="P30" s="1">
        <v>1.79</v>
      </c>
      <c r="Q30" s="1">
        <v>0.53</v>
      </c>
      <c r="R30" s="1">
        <v>2.68</v>
      </c>
      <c r="S30" s="2">
        <v>0.39960000000000001</v>
      </c>
      <c r="T30" s="1">
        <f>SUM(O30:P30)</f>
        <v>5.4399999999999995</v>
      </c>
    </row>
    <row r="31" spans="1:20" x14ac:dyDescent="0.2">
      <c r="A31" t="s">
        <v>36</v>
      </c>
      <c r="B31" t="s">
        <v>22</v>
      </c>
      <c r="C31">
        <v>16</v>
      </c>
      <c r="D31" s="6" t="str">
        <f>IF(H31&gt;45, IF(H31&lt;52, IF((O31+P31)&lt;5,"basalt","alkali basalt")),IF(H31&lt;57,IF((O31+P31)&lt;6,"basaltic andesite","alkali intermediate"), IF((O31+P31)&lt;3, "picro-basalt","basanite")))</f>
        <v>alkali basalt</v>
      </c>
      <c r="E31">
        <v>1200</v>
      </c>
      <c r="F31">
        <v>6168</v>
      </c>
      <c r="G31">
        <v>6000</v>
      </c>
      <c r="H31" s="1">
        <v>48.91</v>
      </c>
      <c r="I31" s="1">
        <v>1.79</v>
      </c>
      <c r="J31" s="1">
        <v>16.940000000000001</v>
      </c>
      <c r="K31" s="1">
        <v>8.64</v>
      </c>
      <c r="L31" s="1">
        <v>0.19</v>
      </c>
      <c r="M31" s="1">
        <v>6.36</v>
      </c>
      <c r="N31" s="1">
        <v>11.18</v>
      </c>
      <c r="O31" s="1">
        <v>3.67</v>
      </c>
      <c r="P31" s="1">
        <v>1.78</v>
      </c>
      <c r="Q31" s="1">
        <v>0.53</v>
      </c>
      <c r="R31" s="1">
        <v>5.19</v>
      </c>
      <c r="S31" s="2">
        <v>0.70720000000000005</v>
      </c>
      <c r="T31" s="1">
        <f>SUM(O31:P31)</f>
        <v>5.45</v>
      </c>
    </row>
    <row r="32" spans="1:20" x14ac:dyDescent="0.2">
      <c r="A32" t="s">
        <v>38</v>
      </c>
      <c r="B32" t="s">
        <v>22</v>
      </c>
      <c r="C32">
        <v>16</v>
      </c>
      <c r="D32" s="6" t="str">
        <f>IF(H32&gt;45, IF(H32&lt;52, IF((O32+P32)&lt;5,"basalt","alkali basalt")),IF(H32&lt;57,IF((O32+P32)&lt;6,"basaltic andesite","alkali intermediate"), IF((O32+P32)&lt;3, "picro-basalt","basanite")))</f>
        <v>alkali basalt</v>
      </c>
      <c r="E32">
        <v>1200</v>
      </c>
      <c r="F32">
        <v>6199</v>
      </c>
      <c r="G32">
        <v>6000</v>
      </c>
      <c r="H32" s="1">
        <v>49.06</v>
      </c>
      <c r="I32" s="1">
        <v>1.69</v>
      </c>
      <c r="J32" s="1">
        <v>17.22</v>
      </c>
      <c r="K32" s="1">
        <v>8.5399999999999991</v>
      </c>
      <c r="L32" s="1">
        <v>0.19</v>
      </c>
      <c r="M32" s="1">
        <v>6.37</v>
      </c>
      <c r="N32" s="1">
        <v>11.42</v>
      </c>
      <c r="O32" s="1">
        <v>3.68</v>
      </c>
      <c r="P32" s="1">
        <v>1.82</v>
      </c>
      <c r="Q32" s="1">
        <v>0</v>
      </c>
      <c r="R32" s="1">
        <v>4.53</v>
      </c>
      <c r="S32" s="2">
        <v>0.76590000000000003</v>
      </c>
      <c r="T32" s="1">
        <f>SUM(O32:P32)</f>
        <v>5.5</v>
      </c>
    </row>
    <row r="33" spans="1:20" x14ac:dyDescent="0.2">
      <c r="A33" t="s">
        <v>28</v>
      </c>
      <c r="B33" t="s">
        <v>22</v>
      </c>
      <c r="C33">
        <v>16</v>
      </c>
      <c r="D33" s="6" t="str">
        <f>IF(H33&gt;45, IF(H33&lt;52, IF((O33+P33)&lt;5,"basalt","alkali basalt")),IF(H33&lt;57,IF((O33+P33)&lt;6,"basaltic andesite","alkali intermediate"), IF((O33+P33)&lt;3, "picro-basalt","basanite")))</f>
        <v>alkali basalt</v>
      </c>
      <c r="E33">
        <v>1200</v>
      </c>
      <c r="F33">
        <v>4194</v>
      </c>
      <c r="G33">
        <v>4000</v>
      </c>
      <c r="H33" s="1">
        <v>48.8</v>
      </c>
      <c r="I33" s="1">
        <v>1.69</v>
      </c>
      <c r="J33" s="1">
        <v>17.37</v>
      </c>
      <c r="K33" s="1">
        <v>8.52</v>
      </c>
      <c r="L33" s="1">
        <v>0.18</v>
      </c>
      <c r="M33" s="1">
        <v>6.41</v>
      </c>
      <c r="N33" s="1">
        <v>11.42</v>
      </c>
      <c r="O33" s="1">
        <v>3.75</v>
      </c>
      <c r="P33" s="1">
        <v>1.87</v>
      </c>
      <c r="Q33" s="1">
        <v>0</v>
      </c>
      <c r="R33" s="1">
        <v>3.35</v>
      </c>
      <c r="S33" s="2">
        <v>0.44259999999999999</v>
      </c>
      <c r="T33" s="1">
        <f>SUM(O33:P33)</f>
        <v>5.62</v>
      </c>
    </row>
    <row r="34" spans="1:20" x14ac:dyDescent="0.2">
      <c r="A34" t="s">
        <v>63</v>
      </c>
      <c r="B34" t="s">
        <v>18</v>
      </c>
      <c r="C34" t="s">
        <v>64</v>
      </c>
      <c r="D34" s="6" t="str">
        <f>IF(H34&gt;45, IF(H34&lt;52, IF((O34+P34)&lt;5,"basalt","alkali basalt")),IF(H34&lt;57,IF((O34+P34)&lt;6,"basaltic andesite","alkali intermediate"), IF((O34+P34)&lt;3, "picro-basalt","basanite")))</f>
        <v>alkali basalt</v>
      </c>
      <c r="E34">
        <v>1200</v>
      </c>
      <c r="F34">
        <v>2059</v>
      </c>
      <c r="G34">
        <v>2000</v>
      </c>
      <c r="H34" s="1">
        <v>48.02</v>
      </c>
      <c r="I34" s="1">
        <v>0.96</v>
      </c>
      <c r="J34" s="1">
        <v>14.52</v>
      </c>
      <c r="K34" s="1">
        <v>7.51</v>
      </c>
      <c r="L34" s="1">
        <v>0</v>
      </c>
      <c r="M34" s="1">
        <v>6.82</v>
      </c>
      <c r="N34" s="1">
        <v>12.77</v>
      </c>
      <c r="O34" s="1">
        <v>1.8</v>
      </c>
      <c r="P34" s="1">
        <v>5.55</v>
      </c>
      <c r="Q34" s="1">
        <v>0.65</v>
      </c>
      <c r="R34" s="1">
        <v>0.8</v>
      </c>
      <c r="S34" s="2">
        <v>0.2094</v>
      </c>
      <c r="T34" s="1">
        <f>SUM(O34:P34)</f>
        <v>7.35</v>
      </c>
    </row>
    <row r="35" spans="1:20" x14ac:dyDescent="0.2">
      <c r="A35" t="s">
        <v>39</v>
      </c>
      <c r="B35" t="s">
        <v>22</v>
      </c>
      <c r="C35">
        <v>16</v>
      </c>
      <c r="D35" s="6" t="str">
        <f>IF(H35&gt;45, IF(H35&lt;52, IF((O35+P35)&lt;5,"basalt","alkali basalt")),IF(H35&lt;57,IF((O35+P35)&lt;6,"basaltic andesite","alkali intermediate"), IF((O35+P35)&lt;3, "picro-basalt","basanite")))</f>
        <v>alkali basalt</v>
      </c>
      <c r="E35">
        <v>1200</v>
      </c>
      <c r="F35">
        <v>6221</v>
      </c>
      <c r="G35">
        <v>6000</v>
      </c>
      <c r="H35" s="1">
        <v>49.37</v>
      </c>
      <c r="I35" s="1">
        <v>0.98</v>
      </c>
      <c r="J35" s="1">
        <v>15.38</v>
      </c>
      <c r="K35" s="1">
        <v>7.12</v>
      </c>
      <c r="L35" s="1">
        <v>0.21</v>
      </c>
      <c r="M35" s="1">
        <v>6.75</v>
      </c>
      <c r="N35" s="1">
        <v>11.7</v>
      </c>
      <c r="O35" s="1">
        <v>1.94</v>
      </c>
      <c r="P35" s="1">
        <v>5.89</v>
      </c>
      <c r="Q35" s="1">
        <v>0.65</v>
      </c>
      <c r="R35" s="1">
        <v>4.62</v>
      </c>
      <c r="S35" s="2">
        <v>0.95420000000000005</v>
      </c>
      <c r="T35" s="1">
        <f>SUM(O35:P35)</f>
        <v>7.83</v>
      </c>
    </row>
    <row r="36" spans="1:20" x14ac:dyDescent="0.2">
      <c r="A36" t="s">
        <v>27</v>
      </c>
      <c r="B36" t="s">
        <v>22</v>
      </c>
      <c r="C36">
        <v>16</v>
      </c>
      <c r="D36" s="6" t="str">
        <f>IF(H36&gt;45, IF(H36&lt;52, IF((O36+P36)&lt;5,"basalt","alkali basalt")),IF(H36&lt;57,IF((O36+P36)&lt;6,"basaltic andesite","alkali intermediate"), IF((O36+P36)&lt;3, "picro-basalt","basanite")))</f>
        <v>alkali basalt</v>
      </c>
      <c r="E36">
        <v>1200</v>
      </c>
      <c r="F36">
        <v>4127</v>
      </c>
      <c r="G36">
        <v>4000</v>
      </c>
      <c r="H36" s="1">
        <v>49.2</v>
      </c>
      <c r="I36" s="1">
        <v>0.98</v>
      </c>
      <c r="J36" s="1">
        <v>15.5</v>
      </c>
      <c r="K36" s="1">
        <v>7.01</v>
      </c>
      <c r="L36" s="1">
        <v>0.22</v>
      </c>
      <c r="M36" s="1">
        <v>6.79</v>
      </c>
      <c r="N36" s="1">
        <v>11.77</v>
      </c>
      <c r="O36" s="1">
        <v>1.94</v>
      </c>
      <c r="P36" s="1">
        <v>5.93</v>
      </c>
      <c r="Q36" s="1">
        <v>0.64</v>
      </c>
      <c r="R36" s="1">
        <v>3.43</v>
      </c>
      <c r="S36" s="2">
        <v>0.49630000000000002</v>
      </c>
      <c r="T36" s="1">
        <f>SUM(O36:P36)</f>
        <v>7.8699999999999992</v>
      </c>
    </row>
    <row r="37" spans="1:20" x14ac:dyDescent="0.2">
      <c r="A37" t="s">
        <v>31</v>
      </c>
      <c r="B37" t="s">
        <v>22</v>
      </c>
      <c r="C37">
        <v>16</v>
      </c>
      <c r="D37" s="6" t="str">
        <f>IF(H37&gt;45, IF(H37&lt;52, IF((O37+P37)&lt;5,"basalt","alkali basalt")),IF(H37&lt;57,IF((O37+P37)&lt;6,"basaltic andesite","alkali intermediate"), IF((O37+P37)&lt;3, "picro-basalt","basanite")))</f>
        <v>alkali basalt</v>
      </c>
      <c r="E37">
        <v>1200</v>
      </c>
      <c r="F37">
        <v>6077</v>
      </c>
      <c r="G37">
        <v>6000</v>
      </c>
      <c r="H37" s="1">
        <v>49.11</v>
      </c>
      <c r="I37" s="1">
        <v>0.99</v>
      </c>
      <c r="J37" s="1">
        <v>15.38</v>
      </c>
      <c r="K37" s="1">
        <v>7.09</v>
      </c>
      <c r="L37" s="1">
        <v>0.22</v>
      </c>
      <c r="M37" s="1">
        <v>6.79</v>
      </c>
      <c r="N37" s="1">
        <v>11.86</v>
      </c>
      <c r="O37" s="1">
        <v>1.89</v>
      </c>
      <c r="P37" s="1">
        <v>6.01</v>
      </c>
      <c r="Q37" s="1">
        <v>0.67</v>
      </c>
      <c r="R37" s="1">
        <v>3.95</v>
      </c>
      <c r="S37" s="2">
        <v>0.85009999999999997</v>
      </c>
      <c r="T37" s="1">
        <f>SUM(O37:P37)</f>
        <v>7.8999999999999995</v>
      </c>
    </row>
    <row r="38" spans="1:20" x14ac:dyDescent="0.2">
      <c r="A38" t="s">
        <v>37</v>
      </c>
      <c r="B38" t="s">
        <v>22</v>
      </c>
      <c r="C38">
        <v>16</v>
      </c>
      <c r="D38" s="6" t="str">
        <f>IF(H38&gt;45, IF(H38&lt;52, IF((O38+P38)&lt;5,"basalt","alkali basalt")),IF(H38&lt;57,IF((O38+P38)&lt;6,"basaltic andesite","alkali intermediate"), IF((O38+P38)&lt;3, "picro-basalt","basanite")))</f>
        <v>alkali basalt</v>
      </c>
      <c r="E38">
        <v>1200</v>
      </c>
      <c r="F38">
        <v>6175</v>
      </c>
      <c r="G38">
        <v>6000</v>
      </c>
      <c r="H38" s="1">
        <v>48.61</v>
      </c>
      <c r="I38" s="1">
        <v>2.86</v>
      </c>
      <c r="J38" s="1">
        <v>19.649999999999999</v>
      </c>
      <c r="K38" s="1">
        <v>7.85</v>
      </c>
      <c r="L38" s="1">
        <v>0.26</v>
      </c>
      <c r="M38" s="1">
        <v>3.26</v>
      </c>
      <c r="N38" s="1">
        <v>7.07</v>
      </c>
      <c r="O38" s="1">
        <v>6.18</v>
      </c>
      <c r="P38" s="1">
        <v>2.98</v>
      </c>
      <c r="Q38" s="1">
        <v>1.27</v>
      </c>
      <c r="R38" s="1">
        <v>2.12</v>
      </c>
      <c r="S38" s="2">
        <v>0.6754</v>
      </c>
      <c r="T38" s="1">
        <f>SUM(O38:P38)</f>
        <v>9.16</v>
      </c>
    </row>
    <row r="39" spans="1:20" x14ac:dyDescent="0.2">
      <c r="A39" t="s">
        <v>57</v>
      </c>
      <c r="B39" t="s">
        <v>20</v>
      </c>
      <c r="C39">
        <v>17</v>
      </c>
      <c r="D39" s="6" t="str">
        <f>IF(H39&gt;45, IF(H39&lt;52, IF((O39+P39)&lt;5,"basalt","alkali basalt")),IF(H39&lt;57,IF((O39+P39)&lt;6,"basaltic andesite","alkali intermediate"), IF((O39+P39)&lt;3, "picro-basalt","basanite")))</f>
        <v>alkali basalt</v>
      </c>
      <c r="E39">
        <v>1250</v>
      </c>
      <c r="F39">
        <v>2000</v>
      </c>
      <c r="G39">
        <v>2000</v>
      </c>
      <c r="H39" s="1">
        <v>49.89</v>
      </c>
      <c r="I39" s="1">
        <v>0.89</v>
      </c>
      <c r="J39" s="1">
        <v>15.57</v>
      </c>
      <c r="K39" s="1">
        <v>7.82</v>
      </c>
      <c r="L39" s="1">
        <v>0</v>
      </c>
      <c r="M39" s="1">
        <v>5.75</v>
      </c>
      <c r="N39" s="1">
        <v>11.4</v>
      </c>
      <c r="O39" s="1">
        <v>1.95</v>
      </c>
      <c r="P39" s="1">
        <v>7.72</v>
      </c>
      <c r="Q39" s="1">
        <v>0</v>
      </c>
      <c r="R39" s="1">
        <v>1.37</v>
      </c>
      <c r="S39" s="2">
        <v>0.26500000000000001</v>
      </c>
      <c r="T39" s="1">
        <f>SUM(O39:P39)</f>
        <v>9.67</v>
      </c>
    </row>
    <row r="40" spans="1:20" x14ac:dyDescent="0.2">
      <c r="A40" t="s">
        <v>55</v>
      </c>
      <c r="B40" t="s">
        <v>20</v>
      </c>
      <c r="C40">
        <v>17</v>
      </c>
      <c r="D40" s="6" t="str">
        <f>IF(H40&gt;45, IF(H40&lt;52, IF((O40+P40)&lt;5,"basalt","alkali basalt")),IF(H40&lt;57,IF((O40+P40)&lt;6,"basaltic andesite","alkali intermediate"), IF((O40+P40)&lt;3, "picro-basalt","basanite")))</f>
        <v>alkali basalt</v>
      </c>
      <c r="E40">
        <v>1200</v>
      </c>
      <c r="F40">
        <v>2000</v>
      </c>
      <c r="G40">
        <v>2000</v>
      </c>
      <c r="H40" s="1">
        <v>49.89</v>
      </c>
      <c r="I40" s="1">
        <v>0.89</v>
      </c>
      <c r="J40" s="1">
        <v>15.57</v>
      </c>
      <c r="K40" s="1">
        <v>7.82</v>
      </c>
      <c r="L40" s="1">
        <v>0</v>
      </c>
      <c r="M40" s="1">
        <v>5.75</v>
      </c>
      <c r="N40" s="1">
        <v>11.4</v>
      </c>
      <c r="O40" s="1">
        <v>1.95</v>
      </c>
      <c r="P40" s="1">
        <v>7.72</v>
      </c>
      <c r="Q40" s="1">
        <v>0</v>
      </c>
      <c r="R40" s="1">
        <v>1.41</v>
      </c>
      <c r="S40" s="2">
        <v>0.36399999999999999</v>
      </c>
      <c r="T40" s="1">
        <f>SUM(O40:P40)</f>
        <v>9.67</v>
      </c>
    </row>
    <row r="41" spans="1:20" x14ac:dyDescent="0.2">
      <c r="A41" t="s">
        <v>60</v>
      </c>
      <c r="B41" t="s">
        <v>20</v>
      </c>
      <c r="C41">
        <v>17</v>
      </c>
      <c r="D41" s="6" t="str">
        <f>IF(H41&gt;45, IF(H41&lt;52, IF((O41+P41)&lt;5,"basalt","alkali basalt")),IF(H41&lt;57,IF((O41+P41)&lt;6,"basaltic andesite","alkali intermediate"), IF((O41+P41)&lt;3, "picro-basalt","basanite")))</f>
        <v>alkali basalt</v>
      </c>
      <c r="E41">
        <v>1200</v>
      </c>
      <c r="F41">
        <v>2000</v>
      </c>
      <c r="G41">
        <v>2000</v>
      </c>
      <c r="H41" s="1">
        <v>49.89</v>
      </c>
      <c r="I41" s="1">
        <v>0.89</v>
      </c>
      <c r="J41" s="1">
        <v>15.57</v>
      </c>
      <c r="K41" s="1">
        <v>7.82</v>
      </c>
      <c r="L41" s="1">
        <v>0</v>
      </c>
      <c r="M41" s="1">
        <v>5.75</v>
      </c>
      <c r="N41" s="1">
        <v>11.4</v>
      </c>
      <c r="O41" s="1">
        <v>1.95</v>
      </c>
      <c r="P41" s="1">
        <v>7.72</v>
      </c>
      <c r="Q41" s="1">
        <v>0</v>
      </c>
      <c r="R41" s="1">
        <v>1.57</v>
      </c>
      <c r="S41" s="2">
        <v>0.28699999999999998</v>
      </c>
      <c r="T41" s="1">
        <f>SUM(O41:P41)</f>
        <v>9.67</v>
      </c>
    </row>
    <row r="42" spans="1:20" x14ac:dyDescent="0.2">
      <c r="A42" t="s">
        <v>59</v>
      </c>
      <c r="B42" t="s">
        <v>20</v>
      </c>
      <c r="C42">
        <v>17</v>
      </c>
      <c r="D42" s="6" t="str">
        <f>IF(H42&gt;45, IF(H42&lt;52, IF((O42+P42)&lt;5,"basalt","alkali basalt")),IF(H42&lt;57,IF((O42+P42)&lt;6,"basaltic andesite","alkali intermediate"), IF((O42+P42)&lt;3, "picro-basalt","basanite")))</f>
        <v>alkali basalt</v>
      </c>
      <c r="E42">
        <v>1200</v>
      </c>
      <c r="F42">
        <v>2000</v>
      </c>
      <c r="G42">
        <v>2000</v>
      </c>
      <c r="H42" s="1">
        <v>49.89</v>
      </c>
      <c r="I42" s="1">
        <v>0.89</v>
      </c>
      <c r="J42" s="1">
        <v>15.57</v>
      </c>
      <c r="K42" s="1">
        <v>7.82</v>
      </c>
      <c r="L42" s="1">
        <v>0</v>
      </c>
      <c r="M42" s="1">
        <v>5.75</v>
      </c>
      <c r="N42" s="1">
        <v>11.4</v>
      </c>
      <c r="O42" s="1">
        <v>1.95</v>
      </c>
      <c r="P42" s="1">
        <v>7.72</v>
      </c>
      <c r="Q42" s="1">
        <v>0</v>
      </c>
      <c r="R42" s="1">
        <v>1.97</v>
      </c>
      <c r="S42" s="2">
        <v>0.30299999999999999</v>
      </c>
      <c r="T42" s="1">
        <f>SUM(O42:P42)</f>
        <v>9.67</v>
      </c>
    </row>
    <row r="43" spans="1:20" x14ac:dyDescent="0.2">
      <c r="A43" t="s">
        <v>56</v>
      </c>
      <c r="B43" t="s">
        <v>20</v>
      </c>
      <c r="C43">
        <v>17</v>
      </c>
      <c r="D43" s="6" t="str">
        <f>IF(H43&gt;45, IF(H43&lt;52, IF((O43+P43)&lt;5,"basalt","alkali basalt")),IF(H43&lt;57,IF((O43+P43)&lt;6,"basaltic andesite","alkali intermediate"), IF((O43+P43)&lt;3, "picro-basalt","basanite")))</f>
        <v>alkali basalt</v>
      </c>
      <c r="E43">
        <v>1200</v>
      </c>
      <c r="F43">
        <v>2000</v>
      </c>
      <c r="G43">
        <v>2000</v>
      </c>
      <c r="H43" s="1">
        <v>49.89</v>
      </c>
      <c r="I43" s="1">
        <v>0.89</v>
      </c>
      <c r="J43" s="1">
        <v>15.57</v>
      </c>
      <c r="K43" s="1">
        <v>7.82</v>
      </c>
      <c r="L43" s="1">
        <v>0</v>
      </c>
      <c r="M43" s="1">
        <v>5.75</v>
      </c>
      <c r="N43" s="1">
        <v>11.4</v>
      </c>
      <c r="O43" s="1">
        <v>1.95</v>
      </c>
      <c r="P43" s="1">
        <v>7.72</v>
      </c>
      <c r="Q43" s="1">
        <v>0</v>
      </c>
      <c r="R43" s="1">
        <v>2.67</v>
      </c>
      <c r="S43" s="2">
        <v>0.27600000000000002</v>
      </c>
      <c r="T43" s="1">
        <f>SUM(O43:P43)</f>
        <v>9.67</v>
      </c>
    </row>
    <row r="44" spans="1:20" x14ac:dyDescent="0.2">
      <c r="A44" t="s">
        <v>58</v>
      </c>
      <c r="B44" t="s">
        <v>20</v>
      </c>
      <c r="C44">
        <v>17</v>
      </c>
      <c r="D44" s="6" t="str">
        <f>IF(H44&gt;45, IF(H44&lt;52, IF((O44+P44)&lt;5,"basalt","alkali basalt")),IF(H44&lt;57,IF((O44+P44)&lt;6,"basaltic andesite","alkali intermediate"), IF((O44+P44)&lt;3, "picro-basalt","basanite")))</f>
        <v>alkali basalt</v>
      </c>
      <c r="E44">
        <v>1200</v>
      </c>
      <c r="F44">
        <v>2000</v>
      </c>
      <c r="G44">
        <v>2000</v>
      </c>
      <c r="H44" s="1">
        <v>49.89</v>
      </c>
      <c r="I44" s="1">
        <v>0.89</v>
      </c>
      <c r="J44" s="1">
        <v>15.57</v>
      </c>
      <c r="K44" s="1">
        <v>7.82</v>
      </c>
      <c r="L44" s="1">
        <v>0</v>
      </c>
      <c r="M44" s="1">
        <v>5.75</v>
      </c>
      <c r="N44" s="1">
        <v>11.4</v>
      </c>
      <c r="O44" s="1">
        <v>1.95</v>
      </c>
      <c r="P44" s="1">
        <v>7.72</v>
      </c>
      <c r="Q44" s="1">
        <v>0</v>
      </c>
      <c r="R44" s="1">
        <v>2.78</v>
      </c>
      <c r="S44" s="2">
        <v>0.25700000000000001</v>
      </c>
      <c r="T44" s="1">
        <f>SUM(O44:P44)</f>
        <v>9.67</v>
      </c>
    </row>
    <row r="48" spans="1:20" x14ac:dyDescent="0.2">
      <c r="S48" s="1"/>
    </row>
  </sheetData>
  <autoFilter ref="A1:T32" xr:uid="{00000000-0001-0000-0000-000000000000}">
    <sortState xmlns:xlrd2="http://schemas.microsoft.com/office/spreadsheetml/2017/richdata2" ref="A2:T44">
      <sortCondition ref="T1:T44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Mixed H2O-CO2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Kayla Iacovino</cp:lastModifiedBy>
  <dcterms:created xsi:type="dcterms:W3CDTF">2025-09-10T01:53:43Z</dcterms:created>
  <dcterms:modified xsi:type="dcterms:W3CDTF">2026-04-13T23:40:00Z</dcterms:modified>
</cp:coreProperties>
</file>