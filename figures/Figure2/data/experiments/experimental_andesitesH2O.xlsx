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iacovino/PythonGit/EoV_CH2-2/SaturdayNightFun/"/>
    </mc:Choice>
  </mc:AlternateContent>
  <xr:revisionPtr revIDLastSave="0" documentId="13_ncr:1_{2DB4156A-AAFB-5E42-89FD-46234FC0C6A8}" xr6:coauthVersionLast="47" xr6:coauthVersionMax="47" xr10:uidLastSave="{00000000-0000-0000-0000-000000000000}"/>
  <bookViews>
    <workbookView xWindow="12620" yWindow="29360" windowWidth="29920" windowHeight="18780" xr2:uid="{BB60B309-F90E-6740-9304-3B7CB1B6F6B9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" l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<sst xmlns="http://schemas.openxmlformats.org/spreadsheetml/2006/main" count="67" uniqueCount="34">
  <si>
    <t>Hamilton et al 1964</t>
  </si>
  <si>
    <t>andesite</t>
  </si>
  <si>
    <t>A9**</t>
  </si>
  <si>
    <t>Hamilton et al., 1967</t>
  </si>
  <si>
    <t>TBD</t>
  </si>
  <si>
    <t>A14**</t>
  </si>
  <si>
    <t>Hamilton et al., 1965</t>
  </si>
  <si>
    <t>Label</t>
  </si>
  <si>
    <t>Citation</t>
  </si>
  <si>
    <t>Rock Type</t>
  </si>
  <si>
    <t>Simplified Rock Type</t>
  </si>
  <si>
    <t>vols</t>
  </si>
  <si>
    <t>T_C</t>
  </si>
  <si>
    <t>P_bar</t>
  </si>
  <si>
    <t>SiO2</t>
  </si>
  <si>
    <t>TiO2</t>
  </si>
  <si>
    <t>Al2O3</t>
  </si>
  <si>
    <t>FeO</t>
  </si>
  <si>
    <t>MnO</t>
  </si>
  <si>
    <t>MgO</t>
  </si>
  <si>
    <t>CaO</t>
  </si>
  <si>
    <t>Na2O</t>
  </si>
  <si>
    <t>K2O</t>
  </si>
  <si>
    <t>P2O5</t>
  </si>
  <si>
    <t>H2O</t>
  </si>
  <si>
    <t>CO2</t>
  </si>
  <si>
    <t>Moore et al 1995a</t>
  </si>
  <si>
    <t>SAT-M12-1*</t>
  </si>
  <si>
    <t>Moore et al. 1995a</t>
  </si>
  <si>
    <t>SAT-M12-2*</t>
  </si>
  <si>
    <t>Moore et al 1998</t>
  </si>
  <si>
    <t>SAT-M12-4†</t>
  </si>
  <si>
    <t>Moore et al. 1998</t>
  </si>
  <si>
    <t>PE-M12-20†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</si>
</sst>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0" fontId="2" fillId="2" borderId="0" xfId="1" applyFill="1"/>
    <xf numFmtId="0" fontId="0" fillId="2" borderId="0" xfId="0" applyFill="1"/>
    <xf numFmtId="0" fontId="3" fillId="2" borderId="0" xfId="0" applyFont="1" applyFill="1"/>
    <xf numFmtId="2" fontId="0" fillId="2" borderId="0" xfId="0" applyNumberFormat="1" applyFill="1"/>
    <xf numFmtId="164" fontId="0" fillId="2" borderId="0" xfId="0" applyNumberFormat="1" applyFill="1"/>
    <xf numFmtId="0" fontId="1" fillId="0" borderId="0" xfId="0" applyFont="1"/>
    <xf numFmtId="2" fontId="1" fillId="0" borderId="0" xfId="0" applyNumberFormat="1" applyFont="1"/>
    <xf numFmtId="164" fontId="1" fillId="0" borderId="0" xfId="0" applyNumberFormat="1" applyFont="1"/>
    <xf numFmtId="0" fontId="2" fillId="0" borderId="0" xfId="1"/>
    <xf numFmtId="0" fontId="3" fillId="0" borderId="0" xfId="0" applyFont="1"/>
    <xf numFmtId="2" fontId="0" fillId="0" borderId="0" xfId="0" applyNumberFormat="1"/>
    <xf numFmtId="164" fontId="0" fillId="0" borderId="0" xfId="0" applyNumberFormat="1"/>
  </cellXfs>
  <cellStyles count="2">
    <cellStyle name="Normal" xfId="0" builtinId="0"/>
    <cellStyle name="Normal 2" xfId="1" xr:uid="{58ADF628-57E4-9C4F-A604-BA16DF67D25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2FD96-9E55-654E-9E73-5475954E80E6}">
  <dimension ref="A1:S14"/>
  <sheetViews>
    <sheetView tabSelected="1" workbookViewId="0">
      <selection activeCell="G20" sqref="G20"/>
    </sheetView>
  </sheetViews>
  <sheetFormatPr baseColWidth="10" defaultRowHeight="16" x14ac:dyDescent="0.2"/>
  <sheetData>
    <row r="1" spans="1:19" s="6" customFormat="1" x14ac:dyDescent="0.2">
      <c r="A1" s="6" t="s">
        <v>7</v>
      </c>
      <c r="B1" s="6" t="s">
        <v>8</v>
      </c>
      <c r="C1" s="6" t="s">
        <v>9</v>
      </c>
      <c r="D1" s="6" t="s">
        <v>10</v>
      </c>
      <c r="E1" s="6" t="s">
        <v>11</v>
      </c>
      <c r="F1" s="6" t="s">
        <v>12</v>
      </c>
      <c r="G1" s="6" t="s">
        <v>13</v>
      </c>
      <c r="H1" s="7" t="s">
        <v>14</v>
      </c>
      <c r="I1" s="7" t="s">
        <v>15</v>
      </c>
      <c r="J1" s="7" t="s">
        <v>16</v>
      </c>
      <c r="K1" s="7" t="s">
        <v>17</v>
      </c>
      <c r="L1" s="7" t="s">
        <v>18</v>
      </c>
      <c r="M1" s="7" t="s">
        <v>19</v>
      </c>
      <c r="N1" s="7" t="s">
        <v>20</v>
      </c>
      <c r="O1" s="7" t="s">
        <v>21</v>
      </c>
      <c r="P1" s="7" t="s">
        <v>22</v>
      </c>
      <c r="Q1" s="7" t="s">
        <v>23</v>
      </c>
      <c r="R1" s="7" t="s">
        <v>24</v>
      </c>
      <c r="S1" s="8" t="s">
        <v>25</v>
      </c>
    </row>
    <row r="2" spans="1:19" s="2" customFormat="1" x14ac:dyDescent="0.2">
      <c r="A2" s="1" t="s">
        <v>0</v>
      </c>
      <c r="B2" s="1" t="s">
        <v>0</v>
      </c>
      <c r="C2" s="2" t="s">
        <v>1</v>
      </c>
      <c r="D2" s="2" t="s">
        <v>1</v>
      </c>
      <c r="E2" s="3" t="str">
        <f>IF(S2=0,"H2O",IF(R2&lt;0.4,"CO2","none"))</f>
        <v>H2O</v>
      </c>
      <c r="F2" s="2">
        <v>1100</v>
      </c>
      <c r="G2" s="2">
        <v>3000</v>
      </c>
      <c r="H2" s="4">
        <v>58.41</v>
      </c>
      <c r="I2" s="4">
        <v>1.1499999999999999</v>
      </c>
      <c r="J2" s="4">
        <v>18.25</v>
      </c>
      <c r="K2" s="4">
        <v>6.46</v>
      </c>
      <c r="L2" s="4"/>
      <c r="M2" s="4">
        <v>3.39</v>
      </c>
      <c r="N2" s="4">
        <v>6.7</v>
      </c>
      <c r="O2" s="4">
        <v>4.3499999999999996</v>
      </c>
      <c r="P2" s="4">
        <v>0.82</v>
      </c>
      <c r="Q2" s="4">
        <v>0.26</v>
      </c>
      <c r="R2" s="4">
        <v>7.4</v>
      </c>
      <c r="S2" s="5"/>
    </row>
    <row r="3" spans="1:19" s="2" customFormat="1" x14ac:dyDescent="0.2">
      <c r="A3" s="2" t="s">
        <v>2</v>
      </c>
      <c r="B3" s="2" t="s">
        <v>3</v>
      </c>
      <c r="C3" s="2" t="s">
        <v>4</v>
      </c>
      <c r="D3" s="2" t="s">
        <v>1</v>
      </c>
      <c r="E3" s="3" t="str">
        <f>IF(S3=0,"H2O",IF(R3&lt;0.4,"CO2","none"))</f>
        <v>H2O</v>
      </c>
      <c r="F3" s="2">
        <v>1100</v>
      </c>
      <c r="G3" s="2">
        <v>3000</v>
      </c>
      <c r="H3" s="4">
        <v>58.41</v>
      </c>
      <c r="I3" s="4">
        <v>1.1499999999999999</v>
      </c>
      <c r="J3" s="4">
        <v>18.25</v>
      </c>
      <c r="K3" s="4">
        <v>6.3097000000000003</v>
      </c>
      <c r="L3" s="4">
        <v>0.1</v>
      </c>
      <c r="M3" s="4">
        <v>3.39</v>
      </c>
      <c r="N3" s="4">
        <v>6.7</v>
      </c>
      <c r="O3" s="4">
        <v>4.3499999999999996</v>
      </c>
      <c r="P3" s="4">
        <v>0.82</v>
      </c>
      <c r="Q3" s="4">
        <v>0.26</v>
      </c>
      <c r="R3" s="4">
        <v>7.4</v>
      </c>
      <c r="S3" s="5"/>
    </row>
    <row r="4" spans="1:19" s="2" customFormat="1" x14ac:dyDescent="0.2">
      <c r="A4" s="1" t="s">
        <v>0</v>
      </c>
      <c r="B4" s="1" t="s">
        <v>0</v>
      </c>
      <c r="C4" s="2" t="s">
        <v>1</v>
      </c>
      <c r="D4" s="2" t="s">
        <v>1</v>
      </c>
      <c r="E4" s="3" t="str">
        <f>IF(S4=0,"H2O",IF(R4&lt;0.4,"CO2","none"))</f>
        <v>H2O</v>
      </c>
      <c r="F4" s="2">
        <v>1100</v>
      </c>
      <c r="G4" s="2">
        <v>5309</v>
      </c>
      <c r="H4" s="4">
        <v>58.41</v>
      </c>
      <c r="I4" s="4">
        <v>1.1499999999999999</v>
      </c>
      <c r="J4" s="4">
        <v>18.25</v>
      </c>
      <c r="K4" s="4">
        <v>6.46</v>
      </c>
      <c r="L4" s="4"/>
      <c r="M4" s="4">
        <v>3.39</v>
      </c>
      <c r="N4" s="4">
        <v>6.7</v>
      </c>
      <c r="O4" s="4">
        <v>4.3499999999999996</v>
      </c>
      <c r="P4" s="4">
        <v>0.82</v>
      </c>
      <c r="Q4" s="4">
        <v>0.26</v>
      </c>
      <c r="R4" s="4">
        <v>10.1</v>
      </c>
      <c r="S4" s="5"/>
    </row>
    <row r="5" spans="1:19" s="2" customFormat="1" x14ac:dyDescent="0.2">
      <c r="A5" s="2" t="s">
        <v>5</v>
      </c>
      <c r="B5" s="2" t="s">
        <v>6</v>
      </c>
      <c r="C5" s="2" t="s">
        <v>4</v>
      </c>
      <c r="D5" s="2" t="s">
        <v>1</v>
      </c>
      <c r="E5" s="3" t="str">
        <f>IF(S5=0,"H2O",IF(R5&lt;0.4,"CO2","none"))</f>
        <v>H2O</v>
      </c>
      <c r="F5" s="2">
        <v>1100</v>
      </c>
      <c r="G5" s="2">
        <v>5309</v>
      </c>
      <c r="H5" s="4">
        <v>58.41</v>
      </c>
      <c r="I5" s="4">
        <v>1.1499999999999999</v>
      </c>
      <c r="J5" s="4">
        <v>18.25</v>
      </c>
      <c r="K5" s="4">
        <v>6.3097000000000003</v>
      </c>
      <c r="L5" s="4">
        <v>0.1</v>
      </c>
      <c r="M5" s="4">
        <v>3.39</v>
      </c>
      <c r="N5" s="4">
        <v>6.7</v>
      </c>
      <c r="O5" s="4">
        <v>4.3499999999999996</v>
      </c>
      <c r="P5" s="4">
        <v>0.82</v>
      </c>
      <c r="Q5" s="4">
        <v>0.26</v>
      </c>
      <c r="R5" s="4">
        <v>10.1</v>
      </c>
      <c r="S5" s="5"/>
    </row>
    <row r="6" spans="1:19" x14ac:dyDescent="0.2">
      <c r="A6" s="9" t="s">
        <v>26</v>
      </c>
      <c r="B6" s="9" t="s">
        <v>26</v>
      </c>
      <c r="C6" t="s">
        <v>1</v>
      </c>
      <c r="D6" s="10" t="s">
        <v>1</v>
      </c>
      <c r="E6" s="10" t="str">
        <f>IF(S6=0,"H2O",IF(R6&lt;0.4,"CO2","none"))</f>
        <v>H2O</v>
      </c>
      <c r="F6">
        <v>1100</v>
      </c>
      <c r="G6">
        <v>703</v>
      </c>
      <c r="H6" s="11">
        <v>62.6</v>
      </c>
      <c r="I6" s="11">
        <v>0.63</v>
      </c>
      <c r="J6" s="11">
        <v>17.3</v>
      </c>
      <c r="K6" s="11">
        <v>4.0199999999999996</v>
      </c>
      <c r="L6" s="11"/>
      <c r="M6" s="11">
        <v>2.65</v>
      </c>
      <c r="N6" s="11">
        <v>5.64</v>
      </c>
      <c r="O6" s="11">
        <v>4.05</v>
      </c>
      <c r="P6" s="11">
        <v>1.61</v>
      </c>
      <c r="Q6" s="11">
        <v>0.24</v>
      </c>
      <c r="R6" s="11">
        <v>2.62</v>
      </c>
      <c r="S6" s="12"/>
    </row>
    <row r="7" spans="1:19" x14ac:dyDescent="0.2">
      <c r="A7" t="s">
        <v>27</v>
      </c>
      <c r="B7" t="s">
        <v>28</v>
      </c>
      <c r="C7" t="s">
        <v>4</v>
      </c>
      <c r="D7" s="10" t="s">
        <v>1</v>
      </c>
      <c r="E7" s="10" t="str">
        <f>IF(S7=0,"H2O",IF(R7&lt;0.4,"CO2","none"))</f>
        <v>H2O</v>
      </c>
      <c r="F7">
        <v>1100</v>
      </c>
      <c r="G7">
        <v>703</v>
      </c>
      <c r="H7" s="11">
        <v>62.6</v>
      </c>
      <c r="I7" s="11">
        <v>0.63</v>
      </c>
      <c r="J7" s="11">
        <v>17.3</v>
      </c>
      <c r="K7" s="11">
        <v>3.8185979999999997</v>
      </c>
      <c r="L7" s="11">
        <v>0.06</v>
      </c>
      <c r="M7" s="11">
        <v>2.65</v>
      </c>
      <c r="N7" s="11">
        <v>5.64</v>
      </c>
      <c r="O7" s="11">
        <v>4.05</v>
      </c>
      <c r="P7" s="11">
        <v>1.61</v>
      </c>
      <c r="Q7" s="11">
        <v>0.24</v>
      </c>
      <c r="R7" s="11">
        <v>2.62</v>
      </c>
      <c r="S7" s="12"/>
    </row>
    <row r="8" spans="1:19" x14ac:dyDescent="0.2">
      <c r="A8" s="9" t="s">
        <v>26</v>
      </c>
      <c r="B8" s="9" t="s">
        <v>26</v>
      </c>
      <c r="C8" t="s">
        <v>1</v>
      </c>
      <c r="D8" s="10" t="s">
        <v>1</v>
      </c>
      <c r="E8" s="10" t="str">
        <f>IF(S8=0,"H2O",IF(R8&lt;0.4,"CO2","none"))</f>
        <v>H2O</v>
      </c>
      <c r="F8">
        <v>1100</v>
      </c>
      <c r="G8">
        <v>1865</v>
      </c>
      <c r="H8" s="11">
        <v>62.6</v>
      </c>
      <c r="I8" s="11">
        <v>0.63</v>
      </c>
      <c r="J8" s="11">
        <v>17.3</v>
      </c>
      <c r="K8" s="11">
        <v>4.0199999999999996</v>
      </c>
      <c r="L8" s="11"/>
      <c r="M8" s="11">
        <v>2.65</v>
      </c>
      <c r="N8" s="11">
        <v>5.64</v>
      </c>
      <c r="O8" s="11">
        <v>4.05</v>
      </c>
      <c r="P8" s="11">
        <v>1.61</v>
      </c>
      <c r="Q8" s="11">
        <v>0.24</v>
      </c>
      <c r="R8" s="11">
        <v>5.03</v>
      </c>
      <c r="S8" s="12"/>
    </row>
    <row r="9" spans="1:19" x14ac:dyDescent="0.2">
      <c r="A9" t="s">
        <v>29</v>
      </c>
      <c r="B9" t="s">
        <v>28</v>
      </c>
      <c r="C9" t="s">
        <v>4</v>
      </c>
      <c r="D9" s="10" t="s">
        <v>1</v>
      </c>
      <c r="E9" s="10" t="str">
        <f>IF(S9=0,"H2O",IF(R9&lt;0.4,"CO2","none"))</f>
        <v>H2O</v>
      </c>
      <c r="F9">
        <v>1100</v>
      </c>
      <c r="G9">
        <v>1865</v>
      </c>
      <c r="H9" s="11">
        <v>62.6</v>
      </c>
      <c r="I9" s="11">
        <v>0.63</v>
      </c>
      <c r="J9" s="11">
        <v>17.3</v>
      </c>
      <c r="K9" s="11">
        <v>3.8185979999999997</v>
      </c>
      <c r="L9" s="11">
        <v>0.06</v>
      </c>
      <c r="M9" s="11">
        <v>2.65</v>
      </c>
      <c r="N9" s="11">
        <v>5.64</v>
      </c>
      <c r="O9" s="11">
        <v>4.05</v>
      </c>
      <c r="P9" s="11">
        <v>1.61</v>
      </c>
      <c r="Q9" s="11">
        <v>0.24</v>
      </c>
      <c r="R9" s="11">
        <v>5.03</v>
      </c>
      <c r="S9" s="12"/>
    </row>
    <row r="10" spans="1:19" x14ac:dyDescent="0.2">
      <c r="A10" s="9" t="s">
        <v>30</v>
      </c>
      <c r="B10" s="9" t="s">
        <v>30</v>
      </c>
      <c r="C10" t="s">
        <v>1</v>
      </c>
      <c r="D10" s="10" t="s">
        <v>1</v>
      </c>
      <c r="E10" s="10" t="str">
        <f>IF(S10=0,"H2O",IF(R10&lt;0.4,"CO2","none"))</f>
        <v>H2O</v>
      </c>
      <c r="F10">
        <v>1050</v>
      </c>
      <c r="G10">
        <v>2985</v>
      </c>
      <c r="H10" s="11">
        <v>62.6</v>
      </c>
      <c r="I10" s="11">
        <v>0.63</v>
      </c>
      <c r="J10" s="11">
        <v>17.3</v>
      </c>
      <c r="K10" s="11">
        <v>4.0199999999999996</v>
      </c>
      <c r="L10" s="11"/>
      <c r="M10" s="11">
        <v>2.65</v>
      </c>
      <c r="N10" s="11">
        <v>5.64</v>
      </c>
      <c r="O10" s="11">
        <v>4.05</v>
      </c>
      <c r="P10" s="11">
        <v>1.61</v>
      </c>
      <c r="Q10" s="11">
        <v>0.24</v>
      </c>
      <c r="R10" s="11">
        <v>6.76</v>
      </c>
      <c r="S10" s="12"/>
    </row>
    <row r="11" spans="1:19" x14ac:dyDescent="0.2">
      <c r="A11" t="s">
        <v>31</v>
      </c>
      <c r="B11" t="s">
        <v>32</v>
      </c>
      <c r="C11" t="s">
        <v>4</v>
      </c>
      <c r="D11" s="10" t="s">
        <v>1</v>
      </c>
      <c r="E11" s="10" t="str">
        <f>IF(S11=0,"H2O",IF(R11&lt;0.4,"CO2","none"))</f>
        <v>H2O</v>
      </c>
      <c r="F11">
        <v>1050</v>
      </c>
      <c r="G11">
        <v>2985</v>
      </c>
      <c r="H11" s="11">
        <v>62.6</v>
      </c>
      <c r="I11" s="11">
        <v>0.63</v>
      </c>
      <c r="J11" s="11">
        <v>17.3</v>
      </c>
      <c r="K11" s="11">
        <v>3.8185979999999997</v>
      </c>
      <c r="L11" s="11">
        <v>0.06</v>
      </c>
      <c r="M11" s="11">
        <v>2.65</v>
      </c>
      <c r="N11" s="11">
        <v>5.64</v>
      </c>
      <c r="O11" s="11">
        <v>4.05</v>
      </c>
      <c r="P11" s="11">
        <v>1.61</v>
      </c>
      <c r="Q11" s="11">
        <v>0.24</v>
      </c>
      <c r="R11" s="11">
        <v>6.76</v>
      </c>
      <c r="S11" s="12"/>
    </row>
    <row r="12" spans="1:19" x14ac:dyDescent="0.2">
      <c r="A12" s="9" t="s">
        <v>30</v>
      </c>
      <c r="B12" s="9" t="s">
        <v>30</v>
      </c>
      <c r="C12" t="s">
        <v>1</v>
      </c>
      <c r="D12" s="10" t="s">
        <v>1</v>
      </c>
      <c r="E12" s="10" t="str">
        <f>IF(S12=0,"H2O",IF(R12&lt;0.4,"CO2","none"))</f>
        <v>H2O</v>
      </c>
      <c r="F12">
        <v>1000</v>
      </c>
      <c r="G12">
        <v>2830</v>
      </c>
      <c r="H12" s="11">
        <v>62.6</v>
      </c>
      <c r="I12" s="11">
        <v>0.63</v>
      </c>
      <c r="J12" s="11">
        <v>17.3</v>
      </c>
      <c r="K12" s="11">
        <v>4.0199999999999996</v>
      </c>
      <c r="L12" s="11"/>
      <c r="M12" s="11">
        <v>2.65</v>
      </c>
      <c r="N12" s="11">
        <v>5.64</v>
      </c>
      <c r="O12" s="11">
        <v>4.05</v>
      </c>
      <c r="P12" s="11">
        <v>1.61</v>
      </c>
      <c r="Q12" s="11">
        <v>0.24</v>
      </c>
      <c r="R12" s="11">
        <v>6.82</v>
      </c>
      <c r="S12" s="12"/>
    </row>
    <row r="13" spans="1:19" x14ac:dyDescent="0.2">
      <c r="A13" t="s">
        <v>33</v>
      </c>
      <c r="B13" t="s">
        <v>32</v>
      </c>
      <c r="C13" t="s">
        <v>4</v>
      </c>
      <c r="D13" s="10" t="s">
        <v>1</v>
      </c>
      <c r="E13" s="10" t="str">
        <f>IF(S13=0,"H2O",IF(R13&lt;0.4,"CO2","none"))</f>
        <v>H2O</v>
      </c>
      <c r="F13">
        <v>1000</v>
      </c>
      <c r="G13">
        <v>2830</v>
      </c>
      <c r="H13" s="11">
        <v>62.6</v>
      </c>
      <c r="I13" s="11">
        <v>0.63</v>
      </c>
      <c r="J13" s="11">
        <v>17.3</v>
      </c>
      <c r="K13" s="11">
        <v>3.8185979999999997</v>
      </c>
      <c r="L13" s="11">
        <v>0.06</v>
      </c>
      <c r="M13" s="11">
        <v>2.65</v>
      </c>
      <c r="N13" s="11">
        <v>5.64</v>
      </c>
      <c r="O13" s="11">
        <v>4.05</v>
      </c>
      <c r="P13" s="11">
        <v>1.61</v>
      </c>
      <c r="Q13" s="11">
        <v>0.24</v>
      </c>
      <c r="R13" s="11">
        <v>6.82</v>
      </c>
      <c r="S13" s="12"/>
    </row>
    <row r="14" spans="1:19" x14ac:dyDescent="0.2"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Iacovino, Kayla</dc:creator>
  <cp:lastModifiedBy>Iacovino, Kayla</cp:lastModifiedBy>
  <dcterms:created xsi:type="dcterms:W3CDTF">2025-09-07T04:19:35Z</dcterms:created>
  <dcterms:modified xsi:type="dcterms:W3CDTF">2025-09-07T04:22:33Z</dcterms:modified>
</cp:coreProperties>
</file>